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66925"/>
  <mc:AlternateContent xmlns:mc="http://schemas.openxmlformats.org/markup-compatibility/2006">
    <mc:Choice Requires="x15">
      <x15ac:absPath xmlns:x15ac="http://schemas.microsoft.com/office/spreadsheetml/2010/11/ac" url="https://affordablehomefinance.sharepoint.com/Shared Documents/Richard Gambord/"/>
    </mc:Choice>
  </mc:AlternateContent>
  <xr:revisionPtr revIDLastSave="121" documentId="8_{04954450-B4BA-1C4D-8840-DB08866E6EC8}" xr6:coauthVersionLast="47" xr6:coauthVersionMax="47" xr10:uidLastSave="{E7D20DB4-9D57-564B-BDC6-23B0E486CF22}"/>
  <bookViews>
    <workbookView xWindow="400" yWindow="600" windowWidth="38000" windowHeight="19600" firstSheet="6" activeTab="17" xr2:uid="{CA24BFCE-8C3B-6A48-AA6C-0B406E4E3B66}"/>
  </bookViews>
  <sheets>
    <sheet name="Wholesale lenders" sheetId="34" r:id="rId1"/>
    <sheet name="Comp plan" sheetId="25" r:id="rId2"/>
    <sheet name="Branch example" sheetId="17" r:id="rId3"/>
    <sheet name="Branch example 0" sheetId="36" r:id="rId4"/>
    <sheet name="Branch example 1" sheetId="32" r:id="rId5"/>
    <sheet name="Branch example 2" sheetId="31" r:id="rId6"/>
    <sheet name="Branch example 3" sheetId="19" r:id="rId7"/>
    <sheet name="Branch example 4" sheetId="26" r:id="rId8"/>
    <sheet name="Branch example 5" sheetId="27" r:id="rId9"/>
    <sheet name="Branch example 6" sheetId="33" r:id="rId10"/>
    <sheet name="MLO start-up costs" sheetId="24" r:id="rId11"/>
    <sheet name="Revenue Share 0" sheetId="39" r:id="rId12"/>
    <sheet name="Revenue Share Capped" sheetId="22" r:id="rId13"/>
    <sheet name="Branches" sheetId="42" r:id="rId14"/>
    <sheet name="Colored  tiers" sheetId="40" r:id="rId15"/>
    <sheet name="AHF net gross" sheetId="30" r:id="rId16"/>
    <sheet name="AHF net gross 0" sheetId="43" r:id="rId17"/>
    <sheet name="Snapshot" sheetId="41" r:id="rId18"/>
    <sheet name="Sheet1" sheetId="38" r:id="rId19"/>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17" l="1"/>
  <c r="U22" i="17"/>
  <c r="S5" i="17"/>
  <c r="O22" i="17"/>
  <c r="N17" i="17"/>
  <c r="E9" i="30" s="1"/>
  <c r="H34" i="36"/>
  <c r="H33" i="36"/>
  <c r="H32" i="36"/>
  <c r="H31" i="36"/>
  <c r="H30" i="36"/>
  <c r="H34" i="27"/>
  <c r="H33" i="27"/>
  <c r="H32" i="27"/>
  <c r="H31" i="27"/>
  <c r="H30" i="27"/>
  <c r="H34" i="33"/>
  <c r="H33" i="33"/>
  <c r="H32" i="33"/>
  <c r="H31" i="33"/>
  <c r="H30" i="33"/>
  <c r="H34" i="26"/>
  <c r="H33" i="26"/>
  <c r="H32" i="26"/>
  <c r="H31" i="26"/>
  <c r="H30" i="26"/>
  <c r="H34" i="19"/>
  <c r="H33" i="19"/>
  <c r="H32" i="19"/>
  <c r="H31" i="19"/>
  <c r="H30" i="19"/>
  <c r="H34" i="31"/>
  <c r="H33" i="31"/>
  <c r="H32" i="31"/>
  <c r="H31" i="31"/>
  <c r="H30" i="31"/>
  <c r="H34" i="32"/>
  <c r="H33" i="32"/>
  <c r="H32" i="32"/>
  <c r="H31" i="32"/>
  <c r="H30" i="32"/>
  <c r="L8" i="17"/>
  <c r="H43" i="38"/>
  <c r="G43" i="38"/>
  <c r="F43" i="38"/>
  <c r="E43" i="38"/>
  <c r="H42" i="38"/>
  <c r="G42" i="38"/>
  <c r="F42" i="38"/>
  <c r="E42" i="38"/>
  <c r="H41" i="38"/>
  <c r="G41" i="38"/>
  <c r="F41" i="38"/>
  <c r="E41" i="38"/>
  <c r="H40" i="38"/>
  <c r="G40" i="38"/>
  <c r="F40" i="38"/>
  <c r="E40" i="38"/>
  <c r="H39" i="38"/>
  <c r="G39" i="38"/>
  <c r="F39" i="38"/>
  <c r="E39" i="38"/>
  <c r="H38" i="38"/>
  <c r="G38" i="38"/>
  <c r="F38" i="38"/>
  <c r="E38" i="38"/>
  <c r="H37" i="38"/>
  <c r="G37" i="38"/>
  <c r="F37" i="38"/>
  <c r="E37" i="38"/>
  <c r="H36" i="38"/>
  <c r="G36" i="38"/>
  <c r="F36" i="38"/>
  <c r="E36" i="38"/>
  <c r="H35" i="38"/>
  <c r="G35" i="38"/>
  <c r="F35" i="38"/>
  <c r="E35" i="38"/>
  <c r="H34" i="38"/>
  <c r="G34" i="38"/>
  <c r="F34" i="38"/>
  <c r="E34" i="38"/>
  <c r="H33" i="38"/>
  <c r="G33" i="38"/>
  <c r="F33" i="38"/>
  <c r="E33" i="38"/>
  <c r="H32" i="38"/>
  <c r="G32" i="38"/>
  <c r="F32" i="38"/>
  <c r="E32" i="38"/>
  <c r="H31" i="38"/>
  <c r="G31" i="38"/>
  <c r="F31" i="38"/>
  <c r="E31" i="38"/>
  <c r="H30" i="38"/>
  <c r="G30" i="38"/>
  <c r="F30" i="38"/>
  <c r="E30" i="38"/>
  <c r="H29" i="38"/>
  <c r="G29" i="38"/>
  <c r="F29" i="38"/>
  <c r="E29" i="38"/>
  <c r="H28" i="38"/>
  <c r="G28" i="38"/>
  <c r="F28" i="38"/>
  <c r="E28" i="38"/>
  <c r="H27" i="38"/>
  <c r="G27" i="38"/>
  <c r="F27" i="38"/>
  <c r="E27" i="38"/>
  <c r="H26" i="38"/>
  <c r="G26" i="38"/>
  <c r="F26" i="38"/>
  <c r="E26" i="38"/>
  <c r="H25" i="38"/>
  <c r="G25" i="38"/>
  <c r="F25" i="38"/>
  <c r="E25" i="38"/>
  <c r="H24" i="38"/>
  <c r="G24" i="38"/>
  <c r="F24" i="38"/>
  <c r="E24" i="38"/>
  <c r="H23" i="38"/>
  <c r="G23" i="38"/>
  <c r="F23" i="38"/>
  <c r="E23" i="38"/>
  <c r="H22" i="38"/>
  <c r="G22" i="38"/>
  <c r="F22" i="38"/>
  <c r="E22" i="38"/>
  <c r="H21" i="38"/>
  <c r="G21" i="38"/>
  <c r="F21" i="38"/>
  <c r="E21" i="38"/>
  <c r="H20" i="38"/>
  <c r="G20" i="38"/>
  <c r="F20" i="38"/>
  <c r="E20" i="38"/>
  <c r="H19" i="38"/>
  <c r="G19" i="38"/>
  <c r="F19" i="38"/>
  <c r="E19" i="38"/>
  <c r="H18" i="38"/>
  <c r="G18" i="38"/>
  <c r="F18" i="38"/>
  <c r="E18" i="38"/>
  <c r="H17" i="38"/>
  <c r="G17" i="38"/>
  <c r="F17" i="38"/>
  <c r="E17" i="38"/>
  <c r="H16" i="38"/>
  <c r="G16" i="38"/>
  <c r="F16" i="38"/>
  <c r="E16" i="38"/>
  <c r="H15" i="38"/>
  <c r="G15" i="38"/>
  <c r="F15" i="38"/>
  <c r="E15" i="38"/>
  <c r="H14" i="38"/>
  <c r="G14" i="38"/>
  <c r="F14" i="38"/>
  <c r="E14" i="38"/>
  <c r="H13" i="38"/>
  <c r="G13" i="38"/>
  <c r="F13" i="38"/>
  <c r="E13" i="38"/>
  <c r="H12" i="38"/>
  <c r="G12" i="38"/>
  <c r="F12" i="38"/>
  <c r="E12" i="38"/>
  <c r="H11" i="38"/>
  <c r="G11" i="38"/>
  <c r="F11" i="38"/>
  <c r="E11" i="38"/>
  <c r="H10" i="38"/>
  <c r="G10" i="38"/>
  <c r="F10" i="38"/>
  <c r="E10" i="38"/>
  <c r="H9" i="38"/>
  <c r="G9" i="38"/>
  <c r="F9" i="38"/>
  <c r="E9" i="38"/>
  <c r="H8" i="38"/>
  <c r="G8" i="38"/>
  <c r="F8" i="38"/>
  <c r="E8" i="38"/>
  <c r="H7" i="38"/>
  <c r="G7" i="38"/>
  <c r="F7" i="38"/>
  <c r="E7" i="38"/>
  <c r="H6" i="38"/>
  <c r="G6" i="38"/>
  <c r="F6" i="38"/>
  <c r="E6" i="38"/>
  <c r="H5" i="38"/>
  <c r="G5" i="38"/>
  <c r="F5" i="38"/>
  <c r="E5" i="38"/>
  <c r="H4" i="38"/>
  <c r="G4" i="38"/>
  <c r="F4" i="38"/>
  <c r="E4" i="38"/>
  <c r="D128" i="38"/>
  <c r="D127" i="38"/>
  <c r="D126" i="38"/>
  <c r="D125" i="38"/>
  <c r="D124" i="38"/>
  <c r="D123" i="38"/>
  <c r="D122" i="38"/>
  <c r="D121" i="38"/>
  <c r="D120" i="38"/>
  <c r="D119" i="38"/>
  <c r="D118" i="38"/>
  <c r="D117" i="38"/>
  <c r="D116" i="38"/>
  <c r="D115" i="38"/>
  <c r="D114" i="38"/>
  <c r="D113" i="38"/>
  <c r="D112" i="38"/>
  <c r="D111" i="38"/>
  <c r="D110" i="38"/>
  <c r="D109" i="38"/>
  <c r="D108" i="38"/>
  <c r="D107" i="38"/>
  <c r="D106" i="38"/>
  <c r="D105" i="38"/>
  <c r="D104" i="38"/>
  <c r="D103" i="38"/>
  <c r="D102" i="38"/>
  <c r="D101" i="38"/>
  <c r="D100" i="38"/>
  <c r="D99" i="38"/>
  <c r="D98" i="38"/>
  <c r="D97" i="38"/>
  <c r="D96" i="38"/>
  <c r="D95" i="38"/>
  <c r="D94" i="38"/>
  <c r="D93" i="38"/>
  <c r="D92" i="38"/>
  <c r="D91" i="38"/>
  <c r="D90" i="38"/>
  <c r="D89" i="38"/>
  <c r="D88" i="38"/>
  <c r="D87" i="38"/>
  <c r="D86" i="38"/>
  <c r="D85" i="38"/>
  <c r="D84" i="38"/>
  <c r="D83" i="38"/>
  <c r="D82" i="38"/>
  <c r="D81" i="38"/>
  <c r="D80" i="38"/>
  <c r="D79" i="38"/>
  <c r="D78" i="38"/>
  <c r="D77" i="38"/>
  <c r="D76" i="38"/>
  <c r="D75" i="38"/>
  <c r="D74" i="38"/>
  <c r="D73" i="38"/>
  <c r="D72" i="38"/>
  <c r="D71" i="38"/>
  <c r="D70" i="38"/>
  <c r="D69" i="38"/>
  <c r="D68" i="38"/>
  <c r="D67" i="38"/>
  <c r="D66" i="38"/>
  <c r="D65" i="38"/>
  <c r="D64" i="38"/>
  <c r="D63" i="38"/>
  <c r="D62" i="38"/>
  <c r="D61" i="38"/>
  <c r="D60" i="38"/>
  <c r="D59" i="38"/>
  <c r="D58" i="38"/>
  <c r="D57" i="38"/>
  <c r="D56" i="38"/>
  <c r="D55" i="38"/>
  <c r="D54" i="38"/>
  <c r="D53" i="38"/>
  <c r="D52" i="38"/>
  <c r="D51" i="38"/>
  <c r="D50" i="38"/>
  <c r="D49" i="38"/>
  <c r="D48" i="38"/>
  <c r="D47" i="38"/>
  <c r="D46" i="38"/>
  <c r="D45" i="38"/>
  <c r="D44" i="38"/>
  <c r="D43" i="38"/>
  <c r="D42" i="38"/>
  <c r="D41" i="38"/>
  <c r="D40" i="38"/>
  <c r="D39" i="38"/>
  <c r="D38" i="38"/>
  <c r="D37" i="38"/>
  <c r="D36" i="38"/>
  <c r="D35" i="38"/>
  <c r="D34" i="38"/>
  <c r="D33" i="38"/>
  <c r="D32" i="38"/>
  <c r="D31" i="38"/>
  <c r="D30" i="38"/>
  <c r="D29" i="38"/>
  <c r="D28" i="38"/>
  <c r="D27" i="38"/>
  <c r="D26" i="38"/>
  <c r="D25" i="38"/>
  <c r="D24" i="38"/>
  <c r="D23" i="38"/>
  <c r="D22" i="38"/>
  <c r="D21" i="38"/>
  <c r="D20" i="38"/>
  <c r="D19" i="38"/>
  <c r="D18" i="38"/>
  <c r="D17" i="38"/>
  <c r="D16" i="38"/>
  <c r="D15" i="38"/>
  <c r="D14" i="38"/>
  <c r="D13" i="38"/>
  <c r="D12" i="38"/>
  <c r="D11" i="38"/>
  <c r="D10" i="38"/>
  <c r="D9" i="38"/>
  <c r="D8" i="38"/>
  <c r="D6" i="38"/>
  <c r="D5" i="38"/>
  <c r="D4" i="38"/>
  <c r="B8" i="38"/>
  <c r="B7" i="38"/>
  <c r="B6" i="38"/>
  <c r="B5" i="38"/>
  <c r="B4" i="38"/>
  <c r="C28" i="38"/>
  <c r="C27" i="38"/>
  <c r="C26" i="38"/>
  <c r="C25" i="38"/>
  <c r="C24" i="38"/>
  <c r="C23" i="38"/>
  <c r="C22" i="38"/>
  <c r="C21" i="38"/>
  <c r="C20" i="38"/>
  <c r="C19" i="38"/>
  <c r="C18" i="38"/>
  <c r="C17" i="38"/>
  <c r="C16" i="38"/>
  <c r="C15" i="38"/>
  <c r="C14" i="38"/>
  <c r="C13" i="38"/>
  <c r="C12" i="38"/>
  <c r="C11" i="38"/>
  <c r="C10" i="38"/>
  <c r="C9" i="38"/>
  <c r="C8" i="38"/>
  <c r="C7" i="38"/>
  <c r="C6" i="38"/>
  <c r="C5" i="38"/>
  <c r="C4" i="38"/>
  <c r="D25" i="17"/>
  <c r="A25" i="17"/>
  <c r="E25" i="17" s="1"/>
  <c r="D24" i="17"/>
  <c r="A24" i="17"/>
  <c r="E24" i="17" s="1"/>
  <c r="N25" i="43"/>
  <c r="H18" i="43"/>
  <c r="F17" i="43"/>
  <c r="F16" i="43"/>
  <c r="F15" i="43"/>
  <c r="N14" i="43"/>
  <c r="F14" i="43"/>
  <c r="F13" i="43"/>
  <c r="F12" i="43"/>
  <c r="C13" i="24"/>
  <c r="D7" i="38"/>
  <c r="A3" i="42"/>
  <c r="H1" i="40"/>
  <c r="G1" i="40"/>
  <c r="F1" i="40"/>
  <c r="E1" i="40"/>
  <c r="D1" i="40"/>
  <c r="C1" i="40"/>
  <c r="B1" i="40"/>
  <c r="E23" i="22"/>
  <c r="E24" i="22" s="1"/>
  <c r="G18" i="39"/>
  <c r="E17" i="39"/>
  <c r="E16" i="39"/>
  <c r="E15" i="39"/>
  <c r="E14" i="39"/>
  <c r="E13" i="39"/>
  <c r="E12" i="39"/>
  <c r="C1" i="38"/>
  <c r="D1" i="38" s="1"/>
  <c r="E1" i="38" s="1"/>
  <c r="F1" i="38" s="1"/>
  <c r="G1" i="38" s="1"/>
  <c r="H1" i="38" s="1"/>
  <c r="A1" i="38"/>
  <c r="Q14" i="38"/>
  <c r="P14" i="38"/>
  <c r="O14" i="38"/>
  <c r="N14" i="38"/>
  <c r="M14" i="38"/>
  <c r="H18" i="30"/>
  <c r="G18" i="22"/>
  <c r="E1" i="36"/>
  <c r="B8" i="36"/>
  <c r="B14" i="36"/>
  <c r="B15" i="36"/>
  <c r="B16" i="36"/>
  <c r="E35" i="36"/>
  <c r="H24" i="36"/>
  <c r="H23" i="36"/>
  <c r="S16" i="17"/>
  <c r="N22" i="17" l="1"/>
  <c r="R5" i="17"/>
  <c r="N6" i="17"/>
  <c r="D9" i="22"/>
  <c r="T22" i="17"/>
  <c r="D9" i="39"/>
  <c r="E9" i="43"/>
  <c r="B17" i="36"/>
  <c r="T5" i="17"/>
  <c r="U5" i="17"/>
  <c r="V5" i="17"/>
  <c r="W5" i="17"/>
  <c r="X5" i="17"/>
  <c r="E35" i="33"/>
  <c r="H24" i="33"/>
  <c r="H23" i="33"/>
  <c r="B16" i="33"/>
  <c r="B15" i="33"/>
  <c r="B14" i="33"/>
  <c r="B8" i="33"/>
  <c r="E35" i="32"/>
  <c r="H24" i="32"/>
  <c r="H23" i="32"/>
  <c r="B16" i="32"/>
  <c r="B17" i="32" s="1"/>
  <c r="B15" i="32"/>
  <c r="B14" i="32"/>
  <c r="B8" i="32"/>
  <c r="E35" i="31"/>
  <c r="H24" i="31"/>
  <c r="H23" i="31"/>
  <c r="B16" i="31"/>
  <c r="C16" i="31" s="1"/>
  <c r="B15" i="31"/>
  <c r="B14" i="31"/>
  <c r="B8" i="31"/>
  <c r="C9" i="24"/>
  <c r="B3" i="25"/>
  <c r="F12" i="30"/>
  <c r="F13" i="30"/>
  <c r="N14" i="30"/>
  <c r="F14" i="30"/>
  <c r="F15" i="30"/>
  <c r="F16" i="30"/>
  <c r="F17" i="30"/>
  <c r="N25" i="30"/>
  <c r="M31" i="17" l="1"/>
  <c r="M25" i="17"/>
  <c r="M24" i="17"/>
  <c r="C14" i="24"/>
  <c r="C16" i="32"/>
  <c r="B17" i="31"/>
  <c r="M30" i="17"/>
  <c r="M29" i="17"/>
  <c r="M28" i="17"/>
  <c r="M27" i="17"/>
  <c r="O27" i="17" s="1"/>
  <c r="N27" i="17" s="1"/>
  <c r="M26" i="17"/>
  <c r="O26" i="17" s="1"/>
  <c r="N26" i="17" s="1"/>
  <c r="L7" i="17"/>
  <c r="L13" i="17"/>
  <c r="O13" i="17" s="1"/>
  <c r="L12" i="17"/>
  <c r="L11" i="17"/>
  <c r="L10" i="17"/>
  <c r="L9" i="17"/>
  <c r="L14" i="17"/>
  <c r="A26" i="17"/>
  <c r="D26" i="17"/>
  <c r="A27" i="17"/>
  <c r="D27" i="17"/>
  <c r="B4" i="25"/>
  <c r="L23" i="17"/>
  <c r="M23" i="17" s="1"/>
  <c r="E35" i="27"/>
  <c r="H24" i="27"/>
  <c r="H23" i="27"/>
  <c r="B16" i="27"/>
  <c r="B15" i="27"/>
  <c r="B14" i="27"/>
  <c r="B8" i="27"/>
  <c r="E35" i="26"/>
  <c r="H24" i="26"/>
  <c r="H23" i="26"/>
  <c r="B14" i="26"/>
  <c r="B8" i="26"/>
  <c r="S24" i="17" l="1"/>
  <c r="U24" i="17" s="1"/>
  <c r="O24" i="17"/>
  <c r="N24" i="17" s="1"/>
  <c r="S25" i="17"/>
  <c r="O25" i="17"/>
  <c r="N25" i="17" s="1"/>
  <c r="S26" i="17"/>
  <c r="U26" i="17" s="1"/>
  <c r="M5" i="17"/>
  <c r="E26" i="17"/>
  <c r="E27" i="17"/>
  <c r="B20" i="24"/>
  <c r="B8" i="19"/>
  <c r="C16" i="19" s="1"/>
  <c r="B16" i="19"/>
  <c r="B15" i="19"/>
  <c r="B14" i="19"/>
  <c r="B17" i="19" s="1"/>
  <c r="E17" i="22"/>
  <c r="G20" i="17"/>
  <c r="D28" i="17"/>
  <c r="D29" i="17"/>
  <c r="D30" i="17"/>
  <c r="D31" i="17"/>
  <c r="D32" i="17"/>
  <c r="D21" i="17"/>
  <c r="O21" i="17"/>
  <c r="N21" i="17"/>
  <c r="O28" i="17"/>
  <c r="O29" i="17"/>
  <c r="N29" i="17" s="1"/>
  <c r="O32" i="17"/>
  <c r="E12" i="22"/>
  <c r="E13" i="22"/>
  <c r="E14" i="22"/>
  <c r="E15" i="22"/>
  <c r="B10" i="24"/>
  <c r="D5" i="17"/>
  <c r="T24" i="17" l="1"/>
  <c r="B26" i="17"/>
  <c r="B25" i="17"/>
  <c r="B24" i="17"/>
  <c r="G25" i="17"/>
  <c r="G24" i="17"/>
  <c r="U25" i="17"/>
  <c r="T25" i="17"/>
  <c r="M9" i="17"/>
  <c r="Q13" i="17"/>
  <c r="T26" i="17"/>
  <c r="M14" i="17"/>
  <c r="M7" i="17"/>
  <c r="M12" i="17"/>
  <c r="M13" i="17"/>
  <c r="M8" i="17"/>
  <c r="M11" i="17"/>
  <c r="M10" i="17"/>
  <c r="F26" i="17"/>
  <c r="C26" i="17"/>
  <c r="G26" i="17"/>
  <c r="B27" i="17"/>
  <c r="G27" i="17" s="1"/>
  <c r="A29" i="17"/>
  <c r="E29" i="17" s="1"/>
  <c r="A23" i="17"/>
  <c r="A32" i="17"/>
  <c r="E32" i="17" s="1"/>
  <c r="A31" i="17"/>
  <c r="E31" i="17" s="1"/>
  <c r="A30" i="17"/>
  <c r="E30" i="17" s="1"/>
  <c r="A28" i="17"/>
  <c r="E28" i="17" s="1"/>
  <c r="B32" i="17"/>
  <c r="F32" i="17" s="1"/>
  <c r="B30" i="17"/>
  <c r="F30" i="17" s="1"/>
  <c r="B28" i="17"/>
  <c r="C28" i="17" s="1"/>
  <c r="B29" i="17"/>
  <c r="G29" i="17" s="1"/>
  <c r="B31" i="17"/>
  <c r="F31" i="17" s="1"/>
  <c r="O31" i="17"/>
  <c r="N31" i="17" s="1"/>
  <c r="O30" i="17"/>
  <c r="N30" i="17" s="1"/>
  <c r="N32" i="17"/>
  <c r="N28" i="17"/>
  <c r="E16" i="22"/>
  <c r="A14" i="17"/>
  <c r="A13" i="17"/>
  <c r="A12" i="17"/>
  <c r="A11" i="17"/>
  <c r="A10" i="17"/>
  <c r="A9" i="17"/>
  <c r="A8" i="17"/>
  <c r="A7" i="17"/>
  <c r="H24" i="19"/>
  <c r="H23" i="19"/>
  <c r="E35" i="19"/>
  <c r="F25" i="17" l="1"/>
  <c r="C25" i="17"/>
  <c r="H25" i="17"/>
  <c r="I25" i="17" s="1"/>
  <c r="J25" i="17" s="1"/>
  <c r="F24" i="17"/>
  <c r="H24" i="17" s="1"/>
  <c r="I24" i="17" s="1"/>
  <c r="J24" i="17" s="1"/>
  <c r="C24" i="17"/>
  <c r="H26" i="17"/>
  <c r="I26" i="17" s="1"/>
  <c r="J26" i="17" s="1"/>
  <c r="F27" i="17"/>
  <c r="H27" i="17" s="1"/>
  <c r="I27" i="17" s="1"/>
  <c r="J27" i="17" s="1"/>
  <c r="C27" i="17"/>
  <c r="G31" i="17"/>
  <c r="H31" i="17" s="1"/>
  <c r="G28" i="17"/>
  <c r="G30" i="17"/>
  <c r="H30" i="17" s="1"/>
  <c r="G32" i="17"/>
  <c r="H32" i="17" s="1"/>
  <c r="C30" i="17"/>
  <c r="C32" i="17"/>
  <c r="C31" i="17"/>
  <c r="F28" i="17"/>
  <c r="C29" i="17"/>
  <c r="F29" i="17"/>
  <c r="H29" i="17" s="1"/>
  <c r="H28" i="17" l="1"/>
  <c r="I28" i="17" s="1"/>
  <c r="J28" i="17" s="1"/>
  <c r="I31" i="17"/>
  <c r="J31" i="17" s="1"/>
  <c r="I29" i="17"/>
  <c r="J29" i="17" s="1"/>
  <c r="I30" i="17"/>
  <c r="J30" i="17" s="1"/>
  <c r="I32" i="17"/>
  <c r="J32" i="17" s="1"/>
  <c r="O14" i="17" l="1"/>
  <c r="N14" i="17"/>
  <c r="N13" i="17"/>
  <c r="O12" i="17"/>
  <c r="N12" i="17"/>
  <c r="O11" i="17"/>
  <c r="N11" i="17"/>
  <c r="O10" i="17"/>
  <c r="N10" i="17"/>
  <c r="O9" i="17"/>
  <c r="N9" i="17"/>
  <c r="O8" i="17"/>
  <c r="N8" i="17"/>
  <c r="O7" i="17"/>
  <c r="N7" i="17"/>
  <c r="B6" i="25" l="1"/>
  <c r="D13" i="17" l="1"/>
  <c r="E13" i="17" s="1"/>
  <c r="O5" i="17"/>
  <c r="N5" i="17"/>
  <c r="D9" i="17"/>
  <c r="D11" i="17"/>
  <c r="D7" i="17"/>
  <c r="D12" i="17"/>
  <c r="D8" i="17"/>
  <c r="D14" i="17"/>
  <c r="D10" i="17"/>
  <c r="R2" i="17" l="1"/>
  <c r="B13" i="17"/>
  <c r="G13" i="17" s="1"/>
  <c r="B12" i="17"/>
  <c r="E12" i="17"/>
  <c r="E8" i="17"/>
  <c r="B8" i="17"/>
  <c r="D23" i="17"/>
  <c r="M3" i="17"/>
  <c r="M19" i="17"/>
  <c r="E11" i="17"/>
  <c r="B11" i="17"/>
  <c r="E9" i="17"/>
  <c r="B9" i="17"/>
  <c r="E7" i="17"/>
  <c r="B7" i="17"/>
  <c r="B10" i="17"/>
  <c r="E10" i="17"/>
  <c r="E14" i="17"/>
  <c r="B14" i="17"/>
  <c r="Q32" i="17" l="1"/>
  <c r="R32" i="17" s="1"/>
  <c r="Q25" i="17"/>
  <c r="R25" i="17" s="1"/>
  <c r="Q24" i="17"/>
  <c r="R24" i="17" s="1"/>
  <c r="S6" i="17"/>
  <c r="Q30" i="17"/>
  <c r="R30" i="17" s="1"/>
  <c r="Q29" i="17"/>
  <c r="R29" i="17" s="1"/>
  <c r="Q28" i="17"/>
  <c r="R28" i="17" s="1"/>
  <c r="Q31" i="17"/>
  <c r="R31" i="17" s="1"/>
  <c r="Q26" i="17"/>
  <c r="R26" i="17" s="1"/>
  <c r="Q27" i="17"/>
  <c r="R27" i="17" s="1"/>
  <c r="G9" i="22"/>
  <c r="R4" i="17"/>
  <c r="H9" i="30" s="1"/>
  <c r="F13" i="17"/>
  <c r="H13" i="17" s="1"/>
  <c r="I13" i="17" s="1"/>
  <c r="J13" i="17" s="1"/>
  <c r="C13" i="17"/>
  <c r="S27" i="17"/>
  <c r="C14" i="17"/>
  <c r="G14" i="17"/>
  <c r="F14" i="17"/>
  <c r="E23" i="17"/>
  <c r="B23" i="17"/>
  <c r="G9" i="17"/>
  <c r="F9" i="17"/>
  <c r="C9" i="17"/>
  <c r="C11" i="17"/>
  <c r="F11" i="17"/>
  <c r="G11" i="17"/>
  <c r="O23" i="17"/>
  <c r="N23" i="17" s="1"/>
  <c r="S23" i="17"/>
  <c r="S32" i="17"/>
  <c r="S31" i="17"/>
  <c r="S30" i="17"/>
  <c r="S29" i="17"/>
  <c r="S28" i="17"/>
  <c r="G10" i="17"/>
  <c r="F10" i="17"/>
  <c r="C10" i="17"/>
  <c r="G7" i="17"/>
  <c r="F7" i="17"/>
  <c r="C7" i="17"/>
  <c r="F8" i="17"/>
  <c r="C8" i="17"/>
  <c r="G8" i="17"/>
  <c r="C12" i="17"/>
  <c r="F12" i="17"/>
  <c r="G12" i="17"/>
  <c r="U6" i="17" l="1"/>
  <c r="U7" i="17" s="1"/>
  <c r="S14" i="17"/>
  <c r="R14" i="17"/>
  <c r="U15" i="17"/>
  <c r="V6" i="17"/>
  <c r="V7" i="17" s="1"/>
  <c r="T6" i="17"/>
  <c r="E1" i="31" s="1"/>
  <c r="S7" i="17"/>
  <c r="E1" i="32"/>
  <c r="R13" i="17"/>
  <c r="H9" i="43" s="1"/>
  <c r="W6" i="17"/>
  <c r="W7" i="17" s="1"/>
  <c r="X6" i="17"/>
  <c r="E1" i="33" s="1"/>
  <c r="Q4" i="17"/>
  <c r="S4" i="17" s="1"/>
  <c r="C16" i="26"/>
  <c r="B17" i="27"/>
  <c r="Q23" i="17"/>
  <c r="R23" i="17" s="1"/>
  <c r="H8" i="30"/>
  <c r="U27" i="17"/>
  <c r="T27" i="17"/>
  <c r="U28" i="17"/>
  <c r="T28" i="17"/>
  <c r="T29" i="17"/>
  <c r="U29" i="17"/>
  <c r="T30" i="17"/>
  <c r="U30" i="17"/>
  <c r="T31" i="17"/>
  <c r="U31" i="17"/>
  <c r="U32" i="17"/>
  <c r="T32" i="17"/>
  <c r="U23" i="17"/>
  <c r="T23" i="17"/>
  <c r="H10" i="17"/>
  <c r="I10" i="17" s="1"/>
  <c r="J10" i="17" s="1"/>
  <c r="H7" i="17"/>
  <c r="I7" i="17" s="1"/>
  <c r="J7" i="17" s="1"/>
  <c r="H14" i="17"/>
  <c r="I14" i="17" s="1"/>
  <c r="J14" i="17" s="1"/>
  <c r="H8" i="17"/>
  <c r="I8" i="17" s="1"/>
  <c r="J8" i="17" s="1"/>
  <c r="H11" i="17"/>
  <c r="I11" i="17" s="1"/>
  <c r="J11" i="17" s="1"/>
  <c r="H9" i="17"/>
  <c r="I9" i="17" s="1"/>
  <c r="J9" i="17" s="1"/>
  <c r="H12" i="17"/>
  <c r="I12" i="17" s="1"/>
  <c r="J12" i="17" s="1"/>
  <c r="B17" i="26"/>
  <c r="C23" i="17"/>
  <c r="G23" i="17"/>
  <c r="F23" i="17"/>
  <c r="E1" i="19" l="1"/>
  <c r="T7" i="17"/>
  <c r="E1" i="26"/>
  <c r="H8" i="43"/>
  <c r="O16" i="43"/>
  <c r="P16" i="43" s="1"/>
  <c r="O27" i="43"/>
  <c r="P27" i="43" s="1"/>
  <c r="S13" i="17"/>
  <c r="E1" i="27"/>
  <c r="X7" i="17"/>
  <c r="G9" i="39"/>
  <c r="G8" i="39" s="1"/>
  <c r="C16" i="27"/>
  <c r="B17" i="33"/>
  <c r="C16" i="33"/>
  <c r="O27" i="30"/>
  <c r="P27" i="30" s="1"/>
  <c r="O16" i="30"/>
  <c r="P16" i="30" s="1"/>
  <c r="S9" i="17"/>
  <c r="T4" i="17"/>
  <c r="T9" i="17" s="1"/>
  <c r="B1" i="32"/>
  <c r="H23" i="17"/>
  <c r="I23" i="17" s="1"/>
  <c r="J23" i="17" s="1"/>
  <c r="D13" i="30"/>
  <c r="I14" i="30"/>
  <c r="I13" i="30"/>
  <c r="I17" i="30"/>
  <c r="G14" i="30"/>
  <c r="D16" i="30"/>
  <c r="G13" i="30"/>
  <c r="D14" i="30"/>
  <c r="G15" i="30"/>
  <c r="D15" i="30"/>
  <c r="I12" i="30"/>
  <c r="G16" i="30"/>
  <c r="I16" i="30"/>
  <c r="G12" i="30"/>
  <c r="D12" i="30"/>
  <c r="I11" i="30"/>
  <c r="D17" i="30"/>
  <c r="G17" i="30"/>
  <c r="I15" i="30"/>
  <c r="U13" i="17" l="1"/>
  <c r="B1" i="36"/>
  <c r="C16" i="36" s="1"/>
  <c r="D17" i="43"/>
  <c r="G14" i="43"/>
  <c r="D12" i="43"/>
  <c r="D16" i="43"/>
  <c r="I15" i="43"/>
  <c r="D13" i="43"/>
  <c r="G13" i="43"/>
  <c r="I17" i="43"/>
  <c r="I16" i="43"/>
  <c r="D14" i="43"/>
  <c r="I13" i="43"/>
  <c r="D15" i="43"/>
  <c r="G12" i="43"/>
  <c r="I12" i="43"/>
  <c r="G17" i="43"/>
  <c r="G15" i="43"/>
  <c r="I14" i="43"/>
  <c r="G16" i="43"/>
  <c r="I11" i="43"/>
  <c r="C12" i="39"/>
  <c r="C15" i="39"/>
  <c r="H12" i="39"/>
  <c r="I12" i="39" s="1"/>
  <c r="H13" i="39"/>
  <c r="I13" i="39" s="1"/>
  <c r="F15" i="39"/>
  <c r="H16" i="39"/>
  <c r="J16" i="39" s="1"/>
  <c r="C17" i="39"/>
  <c r="F12" i="39"/>
  <c r="C13" i="39"/>
  <c r="H14" i="39"/>
  <c r="I14" i="39" s="1"/>
  <c r="H11" i="39"/>
  <c r="J11" i="39" s="1"/>
  <c r="C14" i="39"/>
  <c r="H15" i="39"/>
  <c r="I15" i="39" s="1"/>
  <c r="F13" i="39"/>
  <c r="F14" i="39"/>
  <c r="F16" i="39"/>
  <c r="F17" i="39"/>
  <c r="C16" i="39"/>
  <c r="H17" i="39"/>
  <c r="I17" i="39" s="1"/>
  <c r="I18" i="30"/>
  <c r="U4" i="17"/>
  <c r="U9" i="17" s="1"/>
  <c r="B1" i="31"/>
  <c r="B39" i="32"/>
  <c r="B19" i="32"/>
  <c r="B21" i="32" s="1"/>
  <c r="K15" i="30"/>
  <c r="J15" i="30"/>
  <c r="J12" i="30"/>
  <c r="K12" i="30"/>
  <c r="J11" i="30"/>
  <c r="K11" i="30"/>
  <c r="J17" i="30"/>
  <c r="K17" i="30"/>
  <c r="K13" i="30"/>
  <c r="J13" i="30"/>
  <c r="K14" i="30"/>
  <c r="J14" i="30"/>
  <c r="K16" i="30"/>
  <c r="J16" i="30"/>
  <c r="B19" i="36" l="1"/>
  <c r="B21" i="36" s="1"/>
  <c r="K13" i="43"/>
  <c r="J13" i="43"/>
  <c r="I18" i="43"/>
  <c r="J11" i="43"/>
  <c r="K11" i="43"/>
  <c r="K17" i="43"/>
  <c r="J17" i="43"/>
  <c r="J15" i="43"/>
  <c r="K15" i="43"/>
  <c r="K16" i="43"/>
  <c r="J16" i="43"/>
  <c r="K14" i="43"/>
  <c r="J14" i="43"/>
  <c r="K12" i="43"/>
  <c r="J12" i="43"/>
  <c r="B39" i="36"/>
  <c r="J12" i="39"/>
  <c r="N12" i="39" s="1"/>
  <c r="J15" i="39"/>
  <c r="J17" i="39"/>
  <c r="J13" i="39"/>
  <c r="I16" i="39"/>
  <c r="J14" i="39"/>
  <c r="H18" i="39"/>
  <c r="I11" i="39"/>
  <c r="N17" i="39"/>
  <c r="N11" i="39"/>
  <c r="B1" i="19"/>
  <c r="B39" i="19" s="1"/>
  <c r="G8" i="22"/>
  <c r="V4" i="17"/>
  <c r="V9" i="17" s="1"/>
  <c r="B39" i="31"/>
  <c r="B19" i="31"/>
  <c r="B21" i="31" s="1"/>
  <c r="B32" i="32"/>
  <c r="B34" i="32"/>
  <c r="B23" i="32"/>
  <c r="B25" i="32"/>
  <c r="F21" i="32"/>
  <c r="C21" i="32"/>
  <c r="B33" i="32"/>
  <c r="B24" i="32"/>
  <c r="B31" i="32" s="1"/>
  <c r="O23" i="30"/>
  <c r="O12" i="30"/>
  <c r="O24" i="30"/>
  <c r="P24" i="30" s="1"/>
  <c r="O13" i="30"/>
  <c r="P13" i="30" s="1"/>
  <c r="B33" i="36" l="1"/>
  <c r="B23" i="36"/>
  <c r="B30" i="36" s="1"/>
  <c r="B24" i="36"/>
  <c r="B31" i="36" s="1"/>
  <c r="B32" i="36"/>
  <c r="F21" i="36"/>
  <c r="B25" i="36"/>
  <c r="C21" i="36"/>
  <c r="B34" i="36"/>
  <c r="O12" i="43"/>
  <c r="O23" i="43"/>
  <c r="O13" i="43"/>
  <c r="P13" i="43" s="1"/>
  <c r="O24" i="43"/>
  <c r="P24" i="43" s="1"/>
  <c r="N18" i="39"/>
  <c r="B19" i="19"/>
  <c r="F16" i="22"/>
  <c r="H14" i="22"/>
  <c r="F12" i="22"/>
  <c r="C17" i="22"/>
  <c r="H12" i="22"/>
  <c r="C14" i="22"/>
  <c r="H11" i="22"/>
  <c r="C13" i="22"/>
  <c r="H13" i="22"/>
  <c r="C12" i="22"/>
  <c r="H15" i="22"/>
  <c r="H17" i="22"/>
  <c r="F14" i="22"/>
  <c r="C16" i="22"/>
  <c r="F15" i="22"/>
  <c r="F13" i="22"/>
  <c r="H16" i="22"/>
  <c r="C15" i="22"/>
  <c r="F17" i="22"/>
  <c r="W4" i="17"/>
  <c r="W9" i="17" s="1"/>
  <c r="B30" i="32"/>
  <c r="C34" i="32" s="1"/>
  <c r="B26" i="32"/>
  <c r="B27" i="32" s="1"/>
  <c r="F27" i="32" s="1"/>
  <c r="B34" i="31"/>
  <c r="B24" i="31"/>
  <c r="B31" i="31" s="1"/>
  <c r="B23" i="31"/>
  <c r="B32" i="31"/>
  <c r="B25" i="31"/>
  <c r="C21" i="31"/>
  <c r="F21" i="31"/>
  <c r="B33" i="31"/>
  <c r="B1" i="26"/>
  <c r="B39" i="26" s="1"/>
  <c r="P23" i="30"/>
  <c r="O25" i="30"/>
  <c r="P12" i="30"/>
  <c r="O14" i="30"/>
  <c r="B26" i="36" l="1"/>
  <c r="B27" i="36" s="1"/>
  <c r="F27" i="36" s="1"/>
  <c r="O25" i="43"/>
  <c r="P23" i="43"/>
  <c r="P12" i="43"/>
  <c r="O14" i="43"/>
  <c r="H18" i="22"/>
  <c r="B35" i="36"/>
  <c r="C34" i="36"/>
  <c r="C39" i="36" s="1"/>
  <c r="D39" i="36" s="1"/>
  <c r="X4" i="17"/>
  <c r="X9" i="17" s="1"/>
  <c r="J17" i="22"/>
  <c r="I17" i="22"/>
  <c r="J11" i="22"/>
  <c r="I11" i="22"/>
  <c r="J16" i="22"/>
  <c r="I16" i="22"/>
  <c r="I14" i="22"/>
  <c r="J14" i="22"/>
  <c r="I15" i="22"/>
  <c r="J15" i="22"/>
  <c r="I13" i="22"/>
  <c r="J13" i="22"/>
  <c r="J12" i="22"/>
  <c r="N18" i="22" s="1"/>
  <c r="I12" i="22"/>
  <c r="B19" i="26"/>
  <c r="B21" i="26" s="1"/>
  <c r="B26" i="31"/>
  <c r="B27" i="31" s="1"/>
  <c r="F27" i="31" s="1"/>
  <c r="B30" i="31"/>
  <c r="C34" i="31" s="1"/>
  <c r="B1" i="27"/>
  <c r="B39" i="27" s="1"/>
  <c r="C39" i="32"/>
  <c r="D39" i="32" s="1"/>
  <c r="B35" i="32"/>
  <c r="P14" i="30"/>
  <c r="P17" i="30" s="1"/>
  <c r="P18" i="30" s="1"/>
  <c r="O17" i="30"/>
  <c r="O18" i="30" s="1"/>
  <c r="P25" i="30"/>
  <c r="P28" i="30" s="1"/>
  <c r="P29" i="30" s="1"/>
  <c r="O28" i="30"/>
  <c r="O29" i="30" s="1"/>
  <c r="P14" i="43" l="1"/>
  <c r="P17" i="43" s="1"/>
  <c r="P18" i="43" s="1"/>
  <c r="O17" i="43"/>
  <c r="O18" i="43" s="1"/>
  <c r="O28" i="43"/>
  <c r="O29" i="43" s="1"/>
  <c r="P25" i="43"/>
  <c r="P28" i="43" s="1"/>
  <c r="P29" i="43" s="1"/>
  <c r="H18" i="40"/>
  <c r="C21" i="40" s="1"/>
  <c r="I20" i="40" s="1"/>
  <c r="G5" i="40"/>
  <c r="E5" i="40"/>
  <c r="F18" i="40"/>
  <c r="E23" i="40" s="1"/>
  <c r="I22" i="40" s="1"/>
  <c r="H41" i="40"/>
  <c r="G30" i="40"/>
  <c r="H30" i="40"/>
  <c r="D33" i="40" s="1"/>
  <c r="I32" i="40" s="1"/>
  <c r="G18" i="40"/>
  <c r="D22" i="40" s="1"/>
  <c r="I21" i="40" s="1"/>
  <c r="F5" i="40"/>
  <c r="H68" i="40"/>
  <c r="H71" i="40" s="1"/>
  <c r="I70" i="40" s="1"/>
  <c r="I71" i="40" s="1"/>
  <c r="J71" i="40" s="1"/>
  <c r="G60" i="40"/>
  <c r="H64" i="40" s="1"/>
  <c r="I63" i="40" s="1"/>
  <c r="C18" i="40"/>
  <c r="H26" i="40" s="1"/>
  <c r="I25" i="40" s="1"/>
  <c r="E41" i="40"/>
  <c r="H47" i="40" s="1"/>
  <c r="I46" i="40" s="1"/>
  <c r="D30" i="40"/>
  <c r="H37" i="40" s="1"/>
  <c r="I36" i="40" s="1"/>
  <c r="B5" i="40"/>
  <c r="H14" i="40" s="1"/>
  <c r="I13" i="40" s="1"/>
  <c r="F51" i="40"/>
  <c r="H56" i="40" s="1"/>
  <c r="I55" i="40" s="1"/>
  <c r="H60" i="40"/>
  <c r="G63" i="40" s="1"/>
  <c r="I62" i="40" s="1"/>
  <c r="E30" i="40"/>
  <c r="G36" i="40" s="1"/>
  <c r="I35" i="40" s="1"/>
  <c r="C5" i="40"/>
  <c r="G13" i="40" s="1"/>
  <c r="I12" i="40" s="1"/>
  <c r="D18" i="40"/>
  <c r="F41" i="40"/>
  <c r="G46" i="40" s="1"/>
  <c r="I45" i="40" s="1"/>
  <c r="G51" i="40"/>
  <c r="G55" i="40" s="1"/>
  <c r="I54" i="40" s="1"/>
  <c r="F30" i="40"/>
  <c r="F35" i="40" s="1"/>
  <c r="I34" i="40" s="1"/>
  <c r="D5" i="40"/>
  <c r="H51" i="40"/>
  <c r="F54" i="40" s="1"/>
  <c r="I53" i="40" s="1"/>
  <c r="E18" i="40"/>
  <c r="G41" i="40"/>
  <c r="F45" i="40" s="1"/>
  <c r="I44" i="40" s="1"/>
  <c r="G2" i="38"/>
  <c r="H2" i="38"/>
  <c r="H5" i="40"/>
  <c r="D2" i="38"/>
  <c r="F2" i="38"/>
  <c r="E2" i="38"/>
  <c r="B2" i="38"/>
  <c r="C2" i="38"/>
  <c r="O18" i="39"/>
  <c r="O12" i="39"/>
  <c r="N11" i="22"/>
  <c r="N17" i="22"/>
  <c r="O18" i="22"/>
  <c r="N12" i="22"/>
  <c r="O12" i="22" s="1"/>
  <c r="B1" i="33"/>
  <c r="B35" i="31"/>
  <c r="C39" i="31"/>
  <c r="D39" i="31" s="1"/>
  <c r="B19" i="27"/>
  <c r="B21" i="27" s="1"/>
  <c r="B23" i="26"/>
  <c r="B24" i="26"/>
  <c r="B31" i="26" s="1"/>
  <c r="B25" i="26"/>
  <c r="B34" i="26"/>
  <c r="F21" i="26"/>
  <c r="B32" i="26"/>
  <c r="C21" i="26"/>
  <c r="B33" i="26"/>
  <c r="V60" i="42" l="1"/>
  <c r="W60" i="42" s="1"/>
  <c r="V32" i="42"/>
  <c r="W32" i="42" s="1"/>
  <c r="V56" i="42"/>
  <c r="W56" i="42" s="1"/>
  <c r="V72" i="42"/>
  <c r="W72" i="42" s="1"/>
  <c r="V68" i="42"/>
  <c r="W68" i="42" s="1"/>
  <c r="V48" i="42"/>
  <c r="W48" i="42" s="1"/>
  <c r="V44" i="42"/>
  <c r="W44" i="42" s="1"/>
  <c r="V64" i="42"/>
  <c r="W64" i="42" s="1"/>
  <c r="V40" i="42"/>
  <c r="W40" i="42" s="1"/>
  <c r="V36" i="42"/>
  <c r="W36" i="42" s="1"/>
  <c r="V35" i="42"/>
  <c r="W35" i="42" s="1"/>
  <c r="V43" i="42"/>
  <c r="W43" i="42" s="1"/>
  <c r="V59" i="42"/>
  <c r="W59" i="42" s="1"/>
  <c r="X60" i="42" s="1"/>
  <c r="V71" i="42"/>
  <c r="W71" i="42" s="1"/>
  <c r="V31" i="42"/>
  <c r="W31" i="42" s="1"/>
  <c r="V55" i="42"/>
  <c r="W55" i="42" s="1"/>
  <c r="V47" i="42"/>
  <c r="W47" i="42" s="1"/>
  <c r="V67" i="42"/>
  <c r="W67" i="42" s="1"/>
  <c r="V63" i="42"/>
  <c r="W63" i="42" s="1"/>
  <c r="V39" i="42"/>
  <c r="W39" i="42" s="1"/>
  <c r="K59" i="42"/>
  <c r="L59" i="42" s="1"/>
  <c r="K31" i="42"/>
  <c r="L31" i="42" s="1"/>
  <c r="K55" i="42"/>
  <c r="L55" i="42" s="1"/>
  <c r="K4" i="42"/>
  <c r="L4" i="42" s="1"/>
  <c r="K43" i="42"/>
  <c r="L43" i="42" s="1"/>
  <c r="K12" i="42"/>
  <c r="L12" i="42" s="1"/>
  <c r="K47" i="42"/>
  <c r="L47" i="42" s="1"/>
  <c r="K8" i="42"/>
  <c r="L8" i="42" s="1"/>
  <c r="K71" i="42"/>
  <c r="L71" i="42" s="1"/>
  <c r="K67" i="42"/>
  <c r="L67" i="42" s="1"/>
  <c r="K39" i="42"/>
  <c r="L39" i="42" s="1"/>
  <c r="K16" i="42"/>
  <c r="L16" i="42" s="1"/>
  <c r="K20" i="42"/>
  <c r="L20" i="42" s="1"/>
  <c r="K63" i="42"/>
  <c r="L63" i="42" s="1"/>
  <c r="K35" i="42"/>
  <c r="L35" i="42" s="1"/>
  <c r="K60" i="42"/>
  <c r="L60" i="42" s="1"/>
  <c r="K32" i="42"/>
  <c r="L32" i="42" s="1"/>
  <c r="K56" i="42"/>
  <c r="L56" i="42" s="1"/>
  <c r="K5" i="42"/>
  <c r="L5" i="42" s="1"/>
  <c r="K48" i="42"/>
  <c r="L48" i="42" s="1"/>
  <c r="K9" i="42"/>
  <c r="L9" i="42" s="1"/>
  <c r="K72" i="42"/>
  <c r="L72" i="42" s="1"/>
  <c r="K44" i="42"/>
  <c r="L44" i="42" s="1"/>
  <c r="K13" i="42"/>
  <c r="L13" i="42" s="1"/>
  <c r="K68" i="42"/>
  <c r="L68" i="42" s="1"/>
  <c r="K40" i="42"/>
  <c r="L40" i="42" s="1"/>
  <c r="K17" i="42"/>
  <c r="L17" i="42" s="1"/>
  <c r="K64" i="42"/>
  <c r="L64" i="42" s="1"/>
  <c r="K36" i="42"/>
  <c r="L36" i="42" s="1"/>
  <c r="K21" i="42"/>
  <c r="L21" i="42" s="1"/>
  <c r="E34" i="40"/>
  <c r="I33" i="40" s="1"/>
  <c r="I37" i="40" s="1"/>
  <c r="J37" i="40" s="1"/>
  <c r="E44" i="40"/>
  <c r="I43" i="40" s="1"/>
  <c r="I47" i="40" s="1"/>
  <c r="J47" i="40" s="1"/>
  <c r="G25" i="40"/>
  <c r="I24" i="40" s="1"/>
  <c r="F24" i="40"/>
  <c r="I23" i="40" s="1"/>
  <c r="I56" i="40"/>
  <c r="J56" i="40" s="1"/>
  <c r="I64" i="40"/>
  <c r="J64" i="40" s="1"/>
  <c r="E11" i="40"/>
  <c r="I10" i="40" s="1"/>
  <c r="D10" i="40"/>
  <c r="I9" i="40" s="1"/>
  <c r="F12" i="40"/>
  <c r="I11" i="40" s="1"/>
  <c r="B8" i="40"/>
  <c r="I7" i="40" s="1"/>
  <c r="C9" i="40"/>
  <c r="I8" i="40" s="1"/>
  <c r="N19" i="39"/>
  <c r="O19" i="39" s="1"/>
  <c r="O17" i="39"/>
  <c r="O11" i="39"/>
  <c r="N13" i="39"/>
  <c r="O13" i="39" s="1"/>
  <c r="O17" i="22"/>
  <c r="N19" i="22"/>
  <c r="O19" i="22" s="1"/>
  <c r="N13" i="22"/>
  <c r="O13" i="22" s="1"/>
  <c r="O11" i="22"/>
  <c r="B39" i="33"/>
  <c r="B19" i="33"/>
  <c r="B21" i="33" s="1"/>
  <c r="B30" i="26"/>
  <c r="C34" i="26" s="1"/>
  <c r="B26" i="26"/>
  <c r="B32" i="27"/>
  <c r="B25" i="27"/>
  <c r="B24" i="27"/>
  <c r="B31" i="27" s="1"/>
  <c r="B23" i="27"/>
  <c r="B33" i="27"/>
  <c r="F21" i="27"/>
  <c r="C21" i="27"/>
  <c r="B34" i="27"/>
  <c r="X44" i="42" l="1"/>
  <c r="X32" i="42"/>
  <c r="X36" i="42"/>
  <c r="X48" i="42"/>
  <c r="M17" i="42"/>
  <c r="X40" i="42"/>
  <c r="M40" i="42"/>
  <c r="X64" i="42"/>
  <c r="M68" i="42"/>
  <c r="X68" i="42"/>
  <c r="X56" i="42"/>
  <c r="X72" i="42"/>
  <c r="M72" i="42"/>
  <c r="M9" i="42"/>
  <c r="M13" i="42"/>
  <c r="M44" i="42"/>
  <c r="M36" i="42"/>
  <c r="M56" i="42"/>
  <c r="M48" i="42"/>
  <c r="M5" i="42"/>
  <c r="M64" i="42"/>
  <c r="M32" i="42"/>
  <c r="M21" i="42"/>
  <c r="M60" i="42"/>
  <c r="I26" i="40"/>
  <c r="J26" i="40" s="1"/>
  <c r="I14" i="40"/>
  <c r="J14" i="40" s="1"/>
  <c r="B24" i="33"/>
  <c r="B31" i="33" s="1"/>
  <c r="F21" i="33"/>
  <c r="B25" i="33"/>
  <c r="B23" i="33"/>
  <c r="B32" i="33"/>
  <c r="B34" i="33"/>
  <c r="B33" i="33"/>
  <c r="C21" i="33"/>
  <c r="B30" i="27"/>
  <c r="C34" i="27" s="1"/>
  <c r="B26" i="27"/>
  <c r="B27" i="26"/>
  <c r="F27" i="26" s="1"/>
  <c r="B35" i="26"/>
  <c r="X49" i="42" l="1"/>
  <c r="X73" i="42"/>
  <c r="M49" i="42"/>
  <c r="M22" i="42"/>
  <c r="M73" i="42"/>
  <c r="K71" i="40"/>
  <c r="K64" i="40"/>
  <c r="K56" i="40"/>
  <c r="K47" i="40"/>
  <c r="K37" i="40"/>
  <c r="K26" i="40"/>
  <c r="B26" i="33"/>
  <c r="B27" i="33" s="1"/>
  <c r="F27" i="33" s="1"/>
  <c r="B30" i="33"/>
  <c r="C34" i="33" s="1"/>
  <c r="C39" i="26"/>
  <c r="D39" i="26" s="1"/>
  <c r="B27" i="27"/>
  <c r="F27" i="27" s="1"/>
  <c r="B35" i="27"/>
  <c r="V79" i="42" l="1"/>
  <c r="B35" i="33"/>
  <c r="C39" i="33"/>
  <c r="D39" i="33" s="1"/>
  <c r="C39" i="27"/>
  <c r="D39" i="27" s="1"/>
  <c r="B21" i="19"/>
  <c r="C21" i="19" s="1"/>
  <c r="B32" i="19" l="1"/>
  <c r="B23" i="19"/>
  <c r="B34" i="19"/>
  <c r="B25" i="19"/>
  <c r="F21" i="19"/>
  <c r="B33" i="19"/>
  <c r="B24" i="19"/>
  <c r="B31" i="19" s="1"/>
  <c r="B30" i="19" l="1"/>
  <c r="C34" i="19" s="1"/>
  <c r="B26" i="19"/>
  <c r="B27" i="19" l="1"/>
  <c r="F27" i="19" s="1"/>
  <c r="C39" i="19"/>
  <c r="B35" i="19"/>
  <c r="D39"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tc={7FC424D7-6961-5543-8C1A-31E72E431402}</author>
    <author>tc={8DB14CD9-5F38-CC45-9170-02AD9DA34329}</author>
  </authors>
  <commentList>
    <comment ref="B14" authorId="0" shapeId="0" xr:uid="{7FC424D7-6961-5543-8C1A-31E72E431402}">
      <text>
        <t>[Threaded comment]
Your version of Excel allows you to read this threaded comment; however, any edits to it will get removed if the file is opened in a newer version of Excel. Learn more: https://go.microsoft.com/fwlink/?linkid=870924
Comment:
    Only non-QM loans</t>
      </text>
    </comment>
    <comment ref="C38" authorId="1" shapeId="0" xr:uid="{8DB14CD9-5F38-CC45-9170-02AD9DA34329}">
      <text>
        <t>[Threaded comment]
Your version of Excel allows you to read this threaded comment; however, any edits to it will get removed if the file is opened in a newer version of Excel. Learn more: https://go.microsoft.com/fwlink/?linkid=870924
Comment:
    https://app.quantumreverse.com/</t>
      </text>
    </comment>
  </commentList>
</comments>
</file>

<file path=xl/sharedStrings.xml><?xml version="1.0" encoding="utf-8"?>
<sst xmlns="http://schemas.openxmlformats.org/spreadsheetml/2006/main" count="904" uniqueCount="231">
  <si>
    <t>LenderPrice?</t>
  </si>
  <si>
    <t>Conventional?</t>
  </si>
  <si>
    <t>Reverse?</t>
  </si>
  <si>
    <t>Jumbo?</t>
  </si>
  <si>
    <t>FHA?</t>
  </si>
  <si>
    <t>USDA?</t>
  </si>
  <si>
    <t>DSCR?</t>
  </si>
  <si>
    <t>VA?</t>
  </si>
  <si>
    <t>ITIN?</t>
  </si>
  <si>
    <t>Hard Money Private?</t>
  </si>
  <si>
    <t>Lenders</t>
  </si>
  <si>
    <t>X</t>
  </si>
  <si>
    <t xml:space="preserve">5th Street Capital </t>
  </si>
  <si>
    <t>ACC</t>
  </si>
  <si>
    <t>Acra Lending</t>
  </si>
  <si>
    <t>AFR Wholesale</t>
  </si>
  <si>
    <t>AHL Funding</t>
  </si>
  <si>
    <t>AmWest</t>
  </si>
  <si>
    <t>BLN</t>
  </si>
  <si>
    <t>Caliber Homes Loan</t>
  </si>
  <si>
    <t>Cardinal Financial</t>
  </si>
  <si>
    <t>Carrington</t>
  </si>
  <si>
    <t>Champions Funding</t>
  </si>
  <si>
    <t>Change Wholesale</t>
  </si>
  <si>
    <t>Deephaven Mortgage</t>
  </si>
  <si>
    <t>EPM - Equity Prime Mortgage</t>
  </si>
  <si>
    <t>Excelerate Capital</t>
  </si>
  <si>
    <t>Finance of America Reverse</t>
  </si>
  <si>
    <t>Freedom Mortgage</t>
  </si>
  <si>
    <t>Greenbox</t>
  </si>
  <si>
    <t>Hometown Equity Mortgage (HEM)</t>
  </si>
  <si>
    <t>Lending pros</t>
  </si>
  <si>
    <t>Lexxel Funding Corporation</t>
  </si>
  <si>
    <t>Liberty Reverse Mortgage</t>
  </si>
  <si>
    <t>LoanLock Prime</t>
  </si>
  <si>
    <t>LoanStream Mortgage</t>
  </si>
  <si>
    <t>LoanWyse</t>
  </si>
  <si>
    <t>Newfi Wholesale</t>
  </si>
  <si>
    <t>Newpoint</t>
  </si>
  <si>
    <t>Newrez (Caliber)</t>
  </si>
  <si>
    <t>Orion</t>
  </si>
  <si>
    <t>Pennymac Wholesale</t>
  </si>
  <si>
    <t>PRMG</t>
  </si>
  <si>
    <t>Provident Funding</t>
  </si>
  <si>
    <t>RCN</t>
  </si>
  <si>
    <t>REMN</t>
  </si>
  <si>
    <t>Reverse Mortgage Funding (RMF)</t>
  </si>
  <si>
    <t>Sierra Lending</t>
  </si>
  <si>
    <t>Smartfi Home Loans</t>
  </si>
  <si>
    <t>UWM</t>
  </si>
  <si>
    <t>Wholesale lender comp plan</t>
  </si>
  <si>
    <t>Flat Fee</t>
  </si>
  <si>
    <t>Percentage (0.000% - 2.750%)</t>
  </si>
  <si>
    <t>Minimum Compensation ($0 - $2,750)</t>
  </si>
  <si>
    <t>Loan payment</t>
  </si>
  <si>
    <t>DTI</t>
  </si>
  <si>
    <t>Above</t>
  </si>
  <si>
    <t xml:space="preserve"> Single Loan Branch Commission</t>
  </si>
  <si>
    <t>AHF Annual  Cap</t>
  </si>
  <si>
    <t>Gross Income</t>
  </si>
  <si>
    <t>LTV</t>
  </si>
  <si>
    <t>Annual</t>
  </si>
  <si>
    <t>GCI</t>
  </si>
  <si>
    <t>AHF</t>
  </si>
  <si>
    <t>Branch</t>
  </si>
  <si>
    <t>P+I</t>
  </si>
  <si>
    <t>Property tax</t>
  </si>
  <si>
    <t xml:space="preserve"> insurance</t>
  </si>
  <si>
    <t>PITI</t>
  </si>
  <si>
    <t>Minimum</t>
  </si>
  <si>
    <t>Rate</t>
  </si>
  <si>
    <t>Property value</t>
  </si>
  <si>
    <t>Down payment</t>
  </si>
  <si>
    <t>Loan amount</t>
  </si>
  <si>
    <t>Payment</t>
  </si>
  <si>
    <t>Income</t>
  </si>
  <si>
    <t>Bps</t>
  </si>
  <si>
    <t>Loans per year</t>
  </si>
  <si>
    <t>Per month</t>
  </si>
  <si>
    <t>Ex. 1</t>
  </si>
  <si>
    <t>Ex. 2</t>
  </si>
  <si>
    <t>Ex. 3</t>
  </si>
  <si>
    <t>Ex. 4</t>
  </si>
  <si>
    <t>Ex. 5</t>
  </si>
  <si>
    <t>Ex. 6</t>
  </si>
  <si>
    <t>A to B factor</t>
  </si>
  <si>
    <t>Annual cap</t>
  </si>
  <si>
    <t>per Month</t>
  </si>
  <si>
    <t>COST</t>
  </si>
  <si>
    <t>Branch Yearly Gross Revenue</t>
  </si>
  <si>
    <t>Expenses</t>
  </si>
  <si>
    <t>Education and training</t>
  </si>
  <si>
    <t>20/20 VISION PRO COACHING</t>
  </si>
  <si>
    <t>NMLS Annual CE</t>
  </si>
  <si>
    <t>Licensing fees</t>
  </si>
  <si>
    <t>NMLS Annual renewal fee for MLOs</t>
  </si>
  <si>
    <t>MLO Annual Renewal Fee</t>
  </si>
  <si>
    <t>Advertising &amp; Marketing</t>
  </si>
  <si>
    <t>Agency fee</t>
  </si>
  <si>
    <t>Facebook</t>
  </si>
  <si>
    <t>Google</t>
  </si>
  <si>
    <t>Total expenses</t>
  </si>
  <si>
    <t>Net income before payroll</t>
  </si>
  <si>
    <t>Taxable gross payroll</t>
  </si>
  <si>
    <t>per month</t>
  </si>
  <si>
    <t>Employee withholdings</t>
  </si>
  <si>
    <t>Social Security</t>
  </si>
  <si>
    <t>capped</t>
  </si>
  <si>
    <t>Medicare</t>
  </si>
  <si>
    <t>not capped</t>
  </si>
  <si>
    <t>CA disability</t>
  </si>
  <si>
    <t xml:space="preserve">Total </t>
  </si>
  <si>
    <t>Net paycheck</t>
  </si>
  <si>
    <t>Branch payroll liabilities</t>
  </si>
  <si>
    <t>Fed Unemploy</t>
  </si>
  <si>
    <t>CA Unemployment</t>
  </si>
  <si>
    <t xml:space="preserve">Employment Training Tax (ETT) </t>
  </si>
  <si>
    <t>Total</t>
  </si>
  <si>
    <t>Summary</t>
  </si>
  <si>
    <t>Credit</t>
  </si>
  <si>
    <t>Debit</t>
  </si>
  <si>
    <t>Balance</t>
  </si>
  <si>
    <t xml:space="preserve">Branch account </t>
  </si>
  <si>
    <t>Independent Branch Yearly Gross Revenue</t>
  </si>
  <si>
    <t>Support staff</t>
  </si>
  <si>
    <t xml:space="preserve">Loan officer assistant (LOA) </t>
  </si>
  <si>
    <t>MLO Annual Renewal fee</t>
  </si>
  <si>
    <t>Revenue share passive income examples</t>
  </si>
  <si>
    <t>5x5 Example</t>
  </si>
  <si>
    <t>Level</t>
  </si>
  <si>
    <t>Growth share</t>
  </si>
  <si>
    <t xml:space="preserve"> MLOs</t>
  </si>
  <si>
    <t>Hyper growth share</t>
  </si>
  <si>
    <t>Annual Revenue share</t>
  </si>
  <si>
    <t>AHF Charity</t>
  </si>
  <si>
    <t>Recruiter</t>
  </si>
  <si>
    <t>MLOs</t>
  </si>
  <si>
    <t>Full capper</t>
  </si>
  <si>
    <t>1/2 Capper</t>
  </si>
  <si>
    <t>1+</t>
  </si>
  <si>
    <t>5+</t>
  </si>
  <si>
    <t>10+</t>
  </si>
  <si>
    <t>15+</t>
  </si>
  <si>
    <t>20+</t>
  </si>
  <si>
    <t>10x10 Example</t>
  </si>
  <si>
    <t>25+</t>
  </si>
  <si>
    <t>40+</t>
  </si>
  <si>
    <t>The NMLS also reports how many MLOs are currently active, defined as having originated at least one loan in the quarter. In the first quarter of 2022, there were 115,273 active MLOs, a decline from 122,553 active MLOs in the fourth quarter of 2021, and a peak of 123,479 in the third quarter of 2021.</t>
  </si>
  <si>
    <t>Success track start up costs</t>
  </si>
  <si>
    <t>MLO licensing costs</t>
  </si>
  <si>
    <t xml:space="preserve"> 20 hour pre-licensing education SAFE test</t>
  </si>
  <si>
    <t>MLO Application Fee</t>
  </si>
  <si>
    <t>NMLS Processing Fee for MLO applications</t>
  </si>
  <si>
    <t>NMLS credit report fee for MLO applications</t>
  </si>
  <si>
    <t>Total license</t>
  </si>
  <si>
    <t>Annual renewal</t>
  </si>
  <si>
    <t>8 hour CE</t>
  </si>
  <si>
    <t>Total renewal</t>
  </si>
  <si>
    <t>MLO Reinstatement Fee (Late Renewal)</t>
  </si>
  <si>
    <t>AHF gross</t>
  </si>
  <si>
    <t>Revenue share</t>
  </si>
  <si>
    <t>AHF net gross</t>
  </si>
  <si>
    <t>Ex. 0</t>
  </si>
  <si>
    <t>Number of loans</t>
  </si>
  <si>
    <t xml:space="preserve">AHF Adjusted Gross Commission Income (AGCI) </t>
  </si>
  <si>
    <t>AHF Adjusted Gross Commission Income (AGCI) *</t>
  </si>
  <si>
    <t xml:space="preserve">*AHF Adjusted Gross Commission Income (AGCI) </t>
  </si>
  <si>
    <t xml:space="preserve"> Revenue Share is a percentage of revenue that agents earn for attracting
 agents who are generating revenue for the company.</t>
  </si>
  <si>
    <t>Agents earn based on adjusted gross commission income (AGCI) from the sales
transaction closed by a personally sponsored capping agent and productive
agents in their overall group.</t>
  </si>
  <si>
    <t>AGCI is dynamically calculated each month to ensure that AHF pays out and
 retains 50% of the company dollar (half of the 20% split with agents)</t>
  </si>
  <si>
    <t>Agents only earn revenue share income from the sales activity of productive
 agents they sponsor into the company</t>
  </si>
  <si>
    <t>Agents earn based on adjusted gross commission income (AGCI) from the loan
 transaction closed by a personally sponsored capping agent and productive
 agents in their overall group.</t>
  </si>
  <si>
    <t>Jack</t>
  </si>
  <si>
    <t>Mary</t>
  </si>
  <si>
    <t>Sam</t>
  </si>
  <si>
    <t>David</t>
  </si>
  <si>
    <t>Susan</t>
  </si>
  <si>
    <t>Christina</t>
  </si>
  <si>
    <t>Donald</t>
  </si>
  <si>
    <t>Joseph</t>
  </si>
  <si>
    <t>Kirby</t>
  </si>
  <si>
    <t>Melissa</t>
  </si>
  <si>
    <t>Sarah</t>
  </si>
  <si>
    <t>Jonathan</t>
  </si>
  <si>
    <t>Douglas</t>
  </si>
  <si>
    <t>Ashton</t>
  </si>
  <si>
    <t>Sylvia</t>
  </si>
  <si>
    <t>Peter</t>
  </si>
  <si>
    <t>Jacob</t>
  </si>
  <si>
    <t>Donovan</t>
  </si>
  <si>
    <t>Sally</t>
  </si>
  <si>
    <t>Cassidy</t>
  </si>
  <si>
    <t>James</t>
  </si>
  <si>
    <t>Amanda</t>
  </si>
  <si>
    <t>Brittany</t>
  </si>
  <si>
    <t>Pamela</t>
  </si>
  <si>
    <t>Barbara</t>
  </si>
  <si>
    <t>Elvis</t>
  </si>
  <si>
    <t>Peabody</t>
  </si>
  <si>
    <t>George</t>
  </si>
  <si>
    <t>William</t>
  </si>
  <si>
    <t>Charles</t>
  </si>
  <si>
    <t>Anthony</t>
  </si>
  <si>
    <t>Kiersten</t>
  </si>
  <si>
    <t>Oksana</t>
  </si>
  <si>
    <t>Mariah</t>
  </si>
  <si>
    <t>Beverly</t>
  </si>
  <si>
    <t>Lucy</t>
  </si>
  <si>
    <t>Ron</t>
  </si>
  <si>
    <t>Sammy</t>
  </si>
  <si>
    <t>Kaylin</t>
  </si>
  <si>
    <t>MLO's</t>
  </si>
  <si>
    <t>Maximum Compensation (Min. Comp - $40,000)</t>
  </si>
  <si>
    <t>NMLS ID</t>
  </si>
  <si>
    <t>NMLS ID SPONSOR</t>
  </si>
  <si>
    <t>Monthly production</t>
  </si>
  <si>
    <t>GCI annual production</t>
  </si>
  <si>
    <t>Annual Production</t>
  </si>
  <si>
    <t>GCI monthly production</t>
  </si>
  <si>
    <t>FBI criminal background check</t>
  </si>
  <si>
    <t>Three month  20/20 Success track special</t>
  </si>
  <si>
    <t>Agents earn based on adjusted gross commission income (AGCI) from the sales transaction closed by a personally sponsored capping agent and productive agents in their overall group.</t>
  </si>
  <si>
    <t>Agents only earn revenue share income from the sales activity of productive agents they sponsor into the company</t>
  </si>
  <si>
    <t>Business cards</t>
  </si>
  <si>
    <t>Total start up costs</t>
  </si>
  <si>
    <t>At and Below</t>
  </si>
  <si>
    <t>Loan amount breakpoint</t>
  </si>
  <si>
    <t>Flat fee</t>
  </si>
  <si>
    <t>Split</t>
  </si>
  <si>
    <t>AGCI is dynamically calculated each month to ensure that AHF pays out and
 retains 50% of the company dollar (half of the split with agents)</t>
  </si>
  <si>
    <t xml:space="preserve">AHF Gross Commission Share (GCI)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</si>
</sst>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quot;$&quot;#,##0"/>
    <numFmt numFmtId="166" formatCode="0.0"/>
    <numFmt numFmtId="167" formatCode="0.0%"/>
    <numFmt numFmtId="168" formatCode="&quot;$&quot;#,##0.00"/>
    <numFmt numFmtId="169" formatCode="0.000%"/>
    <numFmt numFmtId="170" formatCode="0######"/>
    <numFmt numFmtId="171" formatCode="#,###,###"/>
  </numFmts>
  <fonts count="14" x14ac:knownFonts="1">
    <font>
      <sz val="12"/>
      <color theme="1"/>
      <name val="Calibri"/>
      <family val="2"/>
      <scheme val="minor"/>
    </font>
    <font>
      <sz val="12"/>
      <color theme="1"/>
      <name val="Calibri"/>
      <family val="2"/>
      <scheme val="minor"/>
    </font>
    <font>
      <b/>
      <sz val="12"/>
      <color theme="1"/>
      <name val="Calibri"/>
      <family val="2"/>
      <scheme val="minor"/>
    </font>
    <font>
      <sz val="11"/>
      <color rgb="FF000000"/>
      <name val="Calibri"/>
      <family val="2"/>
      <scheme val="minor"/>
    </font>
    <font>
      <sz val="12"/>
      <color rgb="FF3B3A48"/>
      <name val="Noto Sans"/>
    </font>
    <font>
      <b/>
      <sz val="12"/>
      <color rgb="FF3B3A48"/>
      <name val="Noto Sans"/>
    </font>
    <font>
      <sz val="12"/>
      <color rgb="FF000000"/>
      <name val="Calibri"/>
      <family val="2"/>
      <scheme val="minor"/>
    </font>
    <font>
      <b/>
      <sz val="14"/>
      <color theme="1"/>
      <name val="Calibri"/>
      <family val="2"/>
      <scheme val="minor"/>
    </font>
    <font>
      <b/>
      <sz val="16"/>
      <color theme="1"/>
      <name val="Calibri"/>
      <family val="2"/>
      <scheme val="minor"/>
    </font>
    <font>
      <b/>
      <sz val="11"/>
      <color theme="1"/>
      <name val="Calibri"/>
      <family val="2"/>
      <scheme val="minor"/>
    </font>
    <font>
      <sz val="14"/>
      <color theme="1"/>
      <name val="Calibri"/>
      <family val="2"/>
      <scheme val="minor"/>
    </font>
    <font>
      <sz val="28"/>
      <color theme="1"/>
      <name val="Calibri"/>
      <family val="2"/>
      <scheme val="minor"/>
    </font>
    <font>
      <b/>
      <sz val="12"/>
      <color rgb="FF000000"/>
      <name val="Calibri"/>
      <family val="2"/>
      <scheme val="minor"/>
    </font>
    <font>
      <sz val="12"/>
      <color rgb="FF000000"/>
      <name val="Calibri"/>
      <family val="2"/>
    </font>
  </fonts>
  <fills count="23">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79998168889431442"/>
        <bgColor indexed="64"/>
      </patternFill>
    </fill>
    <fill>
      <patternFill patternType="solid">
        <fgColor rgb="FFE7E6E6"/>
        <bgColor rgb="FF000000"/>
      </patternFill>
    </fill>
    <fill>
      <patternFill patternType="solid">
        <fgColor rgb="FFD9E1F3"/>
        <bgColor indexed="64"/>
      </patternFill>
    </fill>
    <fill>
      <patternFill patternType="solid">
        <fgColor rgb="FFD9E1F3"/>
        <bgColor rgb="FF000000"/>
      </patternFill>
    </fill>
    <fill>
      <patternFill patternType="solid">
        <fgColor theme="4" tint="0.59999389629810485"/>
        <bgColor indexed="64"/>
      </patternFill>
    </fill>
    <fill>
      <patternFill patternType="solid">
        <fgColor rgb="FFD9E1F2"/>
        <bgColor rgb="FF000000"/>
      </patternFill>
    </fill>
    <fill>
      <patternFill patternType="solid">
        <fgColor theme="3" tint="0.59999389629810485"/>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D6DCE4"/>
        <bgColor rgb="FF000000"/>
      </patternFill>
    </fill>
    <fill>
      <patternFill patternType="solid">
        <fgColor rgb="FFF8CBAD"/>
        <bgColor rgb="FF000000"/>
      </patternFill>
    </fill>
    <fill>
      <patternFill patternType="solid">
        <fgColor rgb="FFA9D08E"/>
        <bgColor rgb="FF000000"/>
      </patternFill>
    </fill>
  </fills>
  <borders count="29">
    <border>
      <left/>
      <right/>
      <top/>
      <bottom/>
      <diagonal/>
    </border>
    <border>
      <left style="thin">
        <color auto="1"/>
      </left>
      <right/>
      <top/>
      <bottom/>
      <diagonal/>
    </border>
    <border>
      <left/>
      <right style="thin">
        <color auto="1"/>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auto="1"/>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s>
  <cellStyleXfs count="7">
    <xf numFmtId="0" fontId="0" fillId="0" borderId="0"/>
    <xf numFmtId="9" fontId="1" fillId="0" borderId="0" applyFont="0" applyFill="0" applyBorder="0" applyAlignment="0" applyProtection="0"/>
    <xf numFmtId="43" fontId="1" fillId="0" borderId="0" applyFont="0" applyFill="0" applyBorder="0" applyAlignment="0" applyProtection="0"/>
    <xf numFmtId="0" fontId="3" fillId="0" borderId="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294">
    <xf numFmtId="0" fontId="0" fillId="0" borderId="0" xfId="0"/>
    <xf numFmtId="0" fontId="0" fillId="2" borderId="0" xfId="0" applyFill="1"/>
    <xf numFmtId="164" fontId="0" fillId="0" borderId="0" xfId="2" applyNumberFormat="1" applyFont="1"/>
    <xf numFmtId="6" fontId="0" fillId="0" borderId="0" xfId="0" applyNumberFormat="1"/>
    <xf numFmtId="6" fontId="0" fillId="2" borderId="0" xfId="0" applyNumberFormat="1" applyFill="1"/>
    <xf numFmtId="0" fontId="0" fillId="0" borderId="0" xfId="0" applyAlignment="1">
      <alignment horizontal="center"/>
    </xf>
    <xf numFmtId="0" fontId="0" fillId="2" borderId="0" xfId="0" applyFill="1" applyAlignment="1">
      <alignment horizontal="center"/>
    </xf>
    <xf numFmtId="6" fontId="0" fillId="0" borderId="0" xfId="0" applyNumberFormat="1" applyAlignment="1">
      <alignment horizontal="center"/>
    </xf>
    <xf numFmtId="10" fontId="0" fillId="0" borderId="0" xfId="0" applyNumberFormat="1"/>
    <xf numFmtId="167" fontId="0" fillId="0" borderId="0" xfId="1" applyNumberFormat="1" applyFont="1"/>
    <xf numFmtId="6" fontId="0" fillId="2" borderId="0" xfId="0" applyNumberFormat="1" applyFill="1" applyAlignment="1">
      <alignment horizontal="center"/>
    </xf>
    <xf numFmtId="0" fontId="0" fillId="2" borderId="0" xfId="0" applyFill="1" applyAlignment="1">
      <alignment horizontal="left"/>
    </xf>
    <xf numFmtId="165" fontId="0" fillId="0" borderId="0" xfId="0" applyNumberFormat="1"/>
    <xf numFmtId="0" fontId="4" fillId="0" borderId="0" xfId="0" applyFont="1"/>
    <xf numFmtId="6" fontId="4" fillId="0" borderId="0" xfId="0" applyNumberFormat="1" applyFont="1"/>
    <xf numFmtId="0" fontId="5" fillId="0" borderId="0" xfId="0" applyFont="1"/>
    <xf numFmtId="6" fontId="5" fillId="0" borderId="0" xfId="0" applyNumberFormat="1" applyFont="1"/>
    <xf numFmtId="0" fontId="2" fillId="0" borderId="0" xfId="0" applyFont="1"/>
    <xf numFmtId="6" fontId="2" fillId="0" borderId="0" xfId="0" applyNumberFormat="1" applyFont="1"/>
    <xf numFmtId="6" fontId="0" fillId="0" borderId="3" xfId="0" applyNumberFormat="1" applyBorder="1"/>
    <xf numFmtId="167" fontId="0" fillId="0" borderId="0" xfId="0" applyNumberFormat="1"/>
    <xf numFmtId="8" fontId="0" fillId="0" borderId="0" xfId="0" applyNumberFormat="1"/>
    <xf numFmtId="0" fontId="4" fillId="0" borderId="0" xfId="0" applyFont="1" applyAlignment="1">
      <alignment horizontal="left" indent="1"/>
    </xf>
    <xf numFmtId="0" fontId="0" fillId="4" borderId="0" xfId="0" applyFill="1" applyAlignment="1">
      <alignment horizontal="left"/>
    </xf>
    <xf numFmtId="0" fontId="0" fillId="4" borderId="0" xfId="0" applyFill="1" applyAlignment="1">
      <alignment horizontal="center"/>
    </xf>
    <xf numFmtId="0" fontId="2" fillId="2" borderId="0" xfId="0" applyFont="1" applyFill="1"/>
    <xf numFmtId="168" fontId="0" fillId="2" borderId="0" xfId="0" applyNumberFormat="1" applyFill="1"/>
    <xf numFmtId="10" fontId="0" fillId="2" borderId="0" xfId="1" applyNumberFormat="1" applyFont="1" applyFill="1"/>
    <xf numFmtId="6" fontId="2" fillId="2" borderId="0" xfId="0" applyNumberFormat="1" applyFont="1" applyFill="1"/>
    <xf numFmtId="0" fontId="5" fillId="2" borderId="0" xfId="0" applyFont="1" applyFill="1"/>
    <xf numFmtId="165" fontId="0" fillId="2" borderId="0" xfId="0" applyNumberFormat="1" applyFill="1"/>
    <xf numFmtId="0" fontId="0" fillId="0" borderId="0" xfId="0" applyAlignment="1">
      <alignment horizontal="left" indent="1"/>
    </xf>
    <xf numFmtId="8" fontId="2" fillId="2" borderId="0" xfId="0" applyNumberFormat="1" applyFont="1" applyFill="1"/>
    <xf numFmtId="164" fontId="0" fillId="2" borderId="0" xfId="2" applyNumberFormat="1" applyFont="1" applyFill="1"/>
    <xf numFmtId="164" fontId="2" fillId="0" borderId="0" xfId="2" applyNumberFormat="1" applyFont="1"/>
    <xf numFmtId="165" fontId="0" fillId="0" borderId="0" xfId="0" applyNumberFormat="1" applyAlignment="1">
      <alignment horizontal="center"/>
    </xf>
    <xf numFmtId="164" fontId="0" fillId="2" borderId="0" xfId="2" applyNumberFormat="1" applyFont="1" applyFill="1" applyAlignment="1">
      <alignment horizontal="center"/>
    </xf>
    <xf numFmtId="165" fontId="0" fillId="2" borderId="0" xfId="0" applyNumberFormat="1" applyFill="1" applyAlignment="1">
      <alignment horizontal="center"/>
    </xf>
    <xf numFmtId="165" fontId="0" fillId="2" borderId="0" xfId="2" applyNumberFormat="1" applyFont="1" applyFill="1" applyAlignment="1">
      <alignment horizontal="center"/>
    </xf>
    <xf numFmtId="10" fontId="0" fillId="0" borderId="0" xfId="0" applyNumberFormat="1" applyAlignment="1">
      <alignment horizontal="center"/>
    </xf>
    <xf numFmtId="167" fontId="0" fillId="0" borderId="0" xfId="0" applyNumberFormat="1" applyAlignment="1">
      <alignment horizontal="center"/>
    </xf>
    <xf numFmtId="165" fontId="0" fillId="4" borderId="0" xfId="0" applyNumberFormat="1" applyFill="1" applyAlignment="1">
      <alignment horizontal="center"/>
    </xf>
    <xf numFmtId="166" fontId="0" fillId="0" borderId="0" xfId="2" applyNumberFormat="1" applyFont="1" applyAlignment="1" applyProtection="1">
      <alignment horizontal="center"/>
    </xf>
    <xf numFmtId="10" fontId="0" fillId="0" borderId="0" xfId="1" applyNumberFormat="1" applyFont="1" applyAlignment="1">
      <alignment horizontal="center"/>
    </xf>
    <xf numFmtId="10" fontId="0" fillId="0" borderId="0" xfId="1" applyNumberFormat="1" applyFont="1" applyBorder="1"/>
    <xf numFmtId="6" fontId="6" fillId="0" borderId="0" xfId="0" applyNumberFormat="1" applyFont="1" applyAlignment="1">
      <alignment horizontal="center"/>
    </xf>
    <xf numFmtId="165" fontId="2" fillId="4" borderId="0" xfId="0" applyNumberFormat="1" applyFont="1" applyFill="1" applyAlignment="1">
      <alignment horizontal="left"/>
    </xf>
    <xf numFmtId="0" fontId="2" fillId="4" borderId="0" xfId="0" applyFont="1" applyFill="1" applyAlignment="1">
      <alignment horizontal="left"/>
    </xf>
    <xf numFmtId="0" fontId="5" fillId="0" borderId="0" xfId="0" applyFont="1" applyAlignment="1">
      <alignment horizontal="left"/>
    </xf>
    <xf numFmtId="6" fontId="4" fillId="0" borderId="0" xfId="0" applyNumberFormat="1" applyFont="1" applyAlignment="1">
      <alignment horizontal="right"/>
    </xf>
    <xf numFmtId="0" fontId="0" fillId="0" borderId="0" xfId="0" applyAlignment="1">
      <alignment horizontal="left"/>
    </xf>
    <xf numFmtId="0" fontId="2" fillId="0" borderId="0" xfId="0" applyFont="1" applyAlignment="1">
      <alignment horizontal="center"/>
    </xf>
    <xf numFmtId="165" fontId="2" fillId="0" borderId="0" xfId="0" applyNumberFormat="1" applyFont="1" applyAlignment="1">
      <alignment horizontal="center"/>
    </xf>
    <xf numFmtId="0" fontId="0" fillId="4" borderId="0" xfId="0" applyFill="1" applyAlignment="1">
      <alignment horizontal="left" vertical="center"/>
    </xf>
    <xf numFmtId="0" fontId="0" fillId="4" borderId="0" xfId="0" applyFill="1" applyAlignment="1">
      <alignment horizontal="center" vertical="center"/>
    </xf>
    <xf numFmtId="6" fontId="2" fillId="0" borderId="0" xfId="0" applyNumberFormat="1" applyFont="1" applyAlignment="1">
      <alignment horizontal="center"/>
    </xf>
    <xf numFmtId="166" fontId="2" fillId="0" borderId="0" xfId="2" applyNumberFormat="1" applyFont="1" applyAlignment="1" applyProtection="1">
      <alignment horizontal="center"/>
    </xf>
    <xf numFmtId="6" fontId="2" fillId="2" borderId="0" xfId="0" applyNumberFormat="1" applyFont="1" applyFill="1" applyAlignment="1">
      <alignment horizontal="center"/>
    </xf>
    <xf numFmtId="165" fontId="2" fillId="4" borderId="0" xfId="0" applyNumberFormat="1" applyFont="1" applyFill="1" applyAlignment="1">
      <alignment horizontal="center"/>
    </xf>
    <xf numFmtId="168" fontId="0" fillId="0" borderId="0" xfId="0" applyNumberFormat="1"/>
    <xf numFmtId="0" fontId="2" fillId="4" borderId="0" xfId="0" applyFont="1" applyFill="1" applyAlignment="1">
      <alignment horizontal="right"/>
    </xf>
    <xf numFmtId="6" fontId="2" fillId="4" borderId="0" xfId="0" applyNumberFormat="1" applyFont="1" applyFill="1" applyAlignment="1">
      <alignment horizontal="left"/>
    </xf>
    <xf numFmtId="0" fontId="2" fillId="4" borderId="5" xfId="0" applyFont="1" applyFill="1" applyBorder="1"/>
    <xf numFmtId="10" fontId="0" fillId="2" borderId="0" xfId="0" applyNumberFormat="1" applyFill="1" applyAlignment="1">
      <alignment horizontal="center"/>
    </xf>
    <xf numFmtId="6" fontId="0" fillId="6" borderId="0" xfId="0" applyNumberFormat="1" applyFill="1" applyAlignment="1">
      <alignment horizontal="center"/>
    </xf>
    <xf numFmtId="9" fontId="0" fillId="2" borderId="4" xfId="0" applyNumberFormat="1" applyFill="1" applyBorder="1" applyAlignment="1">
      <alignment horizontal="center"/>
    </xf>
    <xf numFmtId="0" fontId="0" fillId="2" borderId="1" xfId="0" applyFill="1" applyBorder="1" applyAlignment="1">
      <alignment horizontal="center"/>
    </xf>
    <xf numFmtId="167" fontId="0" fillId="2" borderId="4" xfId="0" applyNumberFormat="1" applyFill="1" applyBorder="1" applyAlignment="1">
      <alignment horizontal="center"/>
    </xf>
    <xf numFmtId="167" fontId="0" fillId="2" borderId="0" xfId="0" applyNumberFormat="1" applyFill="1" applyAlignment="1">
      <alignment horizontal="center"/>
    </xf>
    <xf numFmtId="0" fontId="0" fillId="6" borderId="0" xfId="0" applyFill="1" applyAlignment="1">
      <alignment horizontal="center"/>
    </xf>
    <xf numFmtId="6" fontId="0" fillId="2" borderId="1" xfId="0" applyNumberFormat="1" applyFill="1" applyBorder="1" applyAlignment="1">
      <alignment horizontal="center"/>
    </xf>
    <xf numFmtId="0" fontId="6" fillId="5" borderId="0" xfId="0" applyFont="1" applyFill="1" applyAlignment="1">
      <alignment horizontal="center"/>
    </xf>
    <xf numFmtId="0" fontId="6" fillId="7" borderId="0" xfId="0" applyFont="1" applyFill="1" applyAlignment="1">
      <alignment horizontal="center"/>
    </xf>
    <xf numFmtId="9" fontId="0" fillId="2" borderId="0" xfId="0" applyNumberFormat="1" applyFill="1" applyAlignment="1">
      <alignment horizontal="center"/>
    </xf>
    <xf numFmtId="9" fontId="0" fillId="2" borderId="1" xfId="0" applyNumberFormat="1" applyFill="1" applyBorder="1" applyAlignment="1">
      <alignment horizontal="center"/>
    </xf>
    <xf numFmtId="9" fontId="0" fillId="2" borderId="11" xfId="0" applyNumberFormat="1" applyFill="1" applyBorder="1" applyAlignment="1">
      <alignment horizontal="center"/>
    </xf>
    <xf numFmtId="165" fontId="0" fillId="3" borderId="0" xfId="0" applyNumberFormat="1" applyFill="1" applyAlignment="1">
      <alignment horizontal="center"/>
    </xf>
    <xf numFmtId="6" fontId="0" fillId="3" borderId="0" xfId="0" applyNumberFormat="1" applyFill="1" applyAlignment="1">
      <alignment horizontal="center"/>
    </xf>
    <xf numFmtId="0" fontId="0" fillId="6" borderId="8" xfId="0" applyFill="1" applyBorder="1"/>
    <xf numFmtId="6" fontId="2" fillId="3" borderId="0" xfId="0" applyNumberFormat="1" applyFont="1" applyFill="1" applyAlignment="1">
      <alignment horizontal="center"/>
    </xf>
    <xf numFmtId="2" fontId="2" fillId="0" borderId="0" xfId="0" applyNumberFormat="1" applyFont="1" applyAlignment="1">
      <alignment horizontal="center"/>
    </xf>
    <xf numFmtId="2" fontId="0" fillId="0" borderId="0" xfId="0" applyNumberFormat="1" applyAlignment="1">
      <alignment horizontal="center"/>
    </xf>
    <xf numFmtId="167" fontId="0" fillId="0" borderId="13" xfId="0" applyNumberFormat="1" applyBorder="1" applyAlignment="1">
      <alignment horizontal="center"/>
    </xf>
    <xf numFmtId="6" fontId="0" fillId="0" borderId="16" xfId="0" applyNumberFormat="1" applyBorder="1" applyAlignment="1">
      <alignment horizontal="center"/>
    </xf>
    <xf numFmtId="167" fontId="0" fillId="0" borderId="17" xfId="0" applyNumberFormat="1" applyBorder="1" applyAlignment="1">
      <alignment horizontal="center"/>
    </xf>
    <xf numFmtId="6" fontId="0" fillId="0" borderId="18" xfId="0" applyNumberFormat="1" applyBorder="1" applyAlignment="1">
      <alignment horizontal="center"/>
    </xf>
    <xf numFmtId="0" fontId="0" fillId="2" borderId="19" xfId="0" applyFill="1" applyBorder="1" applyAlignment="1">
      <alignment horizontal="center" wrapText="1"/>
    </xf>
    <xf numFmtId="0" fontId="0" fillId="0" borderId="20" xfId="0" applyBorder="1" applyAlignment="1">
      <alignment horizontal="center"/>
    </xf>
    <xf numFmtId="0" fontId="0" fillId="0" borderId="21" xfId="0" applyBorder="1" applyAlignment="1">
      <alignment horizontal="center"/>
    </xf>
    <xf numFmtId="9" fontId="0" fillId="2" borderId="19" xfId="0" applyNumberFormat="1" applyFill="1" applyBorder="1" applyAlignment="1">
      <alignment horizontal="center"/>
    </xf>
    <xf numFmtId="168" fontId="0" fillId="2" borderId="0" xfId="2" applyNumberFormat="1" applyFont="1" applyFill="1" applyAlignment="1">
      <alignment horizontal="center"/>
    </xf>
    <xf numFmtId="169" fontId="0" fillId="2" borderId="4" xfId="0" applyNumberFormat="1" applyFill="1" applyBorder="1" applyAlignment="1">
      <alignment horizontal="center"/>
    </xf>
    <xf numFmtId="169" fontId="0" fillId="2" borderId="0" xfId="0" applyNumberFormat="1" applyFill="1" applyAlignment="1">
      <alignment horizontal="center"/>
    </xf>
    <xf numFmtId="169" fontId="0" fillId="3" borderId="0" xfId="0" applyNumberFormat="1" applyFill="1" applyAlignment="1">
      <alignment horizontal="center"/>
    </xf>
    <xf numFmtId="169" fontId="2" fillId="0" borderId="0" xfId="0" applyNumberFormat="1" applyFont="1" applyAlignment="1">
      <alignment horizontal="center"/>
    </xf>
    <xf numFmtId="169" fontId="0" fillId="0" borderId="0" xfId="0" applyNumberFormat="1" applyAlignment="1">
      <alignment horizontal="center"/>
    </xf>
    <xf numFmtId="0" fontId="2" fillId="2" borderId="2" xfId="0" applyFont="1" applyFill="1" applyBorder="1" applyAlignment="1">
      <alignment horizontal="center"/>
    </xf>
    <xf numFmtId="10" fontId="0" fillId="2" borderId="0" xfId="0" applyNumberFormat="1" applyFill="1"/>
    <xf numFmtId="0" fontId="0" fillId="4" borderId="9" xfId="0" applyFill="1" applyBorder="1" applyAlignment="1">
      <alignment horizontal="center" vertical="center"/>
    </xf>
    <xf numFmtId="0" fontId="0" fillId="4" borderId="5" xfId="0" applyFill="1" applyBorder="1" applyAlignment="1">
      <alignment horizontal="left"/>
    </xf>
    <xf numFmtId="0" fontId="0" fillId="4" borderId="6" xfId="0" applyFill="1" applyBorder="1" applyAlignment="1">
      <alignment horizontal="left"/>
    </xf>
    <xf numFmtId="0" fontId="0" fillId="4" borderId="6" xfId="0" applyFill="1" applyBorder="1" applyAlignment="1">
      <alignment horizontal="center"/>
    </xf>
    <xf numFmtId="0" fontId="0" fillId="4" borderId="7" xfId="0" applyFill="1" applyBorder="1" applyAlignment="1">
      <alignment horizontal="center"/>
    </xf>
    <xf numFmtId="0" fontId="0" fillId="2" borderId="2" xfId="0" applyFill="1" applyBorder="1" applyAlignment="1">
      <alignment horizontal="center"/>
    </xf>
    <xf numFmtId="0" fontId="0" fillId="0" borderId="1" xfId="0" applyBorder="1" applyAlignment="1">
      <alignment horizontal="center"/>
    </xf>
    <xf numFmtId="165" fontId="0" fillId="0" borderId="2" xfId="0" applyNumberFormat="1" applyBorder="1" applyAlignment="1">
      <alignment horizontal="center"/>
    </xf>
    <xf numFmtId="0" fontId="2" fillId="0" borderId="1" xfId="0" applyFont="1" applyBorder="1" applyAlignment="1">
      <alignment horizontal="center"/>
    </xf>
    <xf numFmtId="165" fontId="2" fillId="0" borderId="2" xfId="0" applyNumberFormat="1" applyFont="1" applyBorder="1" applyAlignment="1">
      <alignment horizontal="center"/>
    </xf>
    <xf numFmtId="0" fontId="0" fillId="0" borderId="1" xfId="0" applyBorder="1"/>
    <xf numFmtId="0" fontId="0" fillId="0" borderId="2" xfId="0" applyBorder="1" applyAlignment="1">
      <alignment horizontal="center"/>
    </xf>
    <xf numFmtId="0" fontId="2" fillId="0" borderId="1" xfId="0" applyFont="1" applyBorder="1"/>
    <xf numFmtId="0" fontId="2" fillId="4" borderId="8" xfId="0" applyFont="1" applyFill="1" applyBorder="1" applyAlignment="1">
      <alignment horizontal="center" vertical="center"/>
    </xf>
    <xf numFmtId="165" fontId="2" fillId="4" borderId="9" xfId="0" applyNumberFormat="1" applyFont="1" applyFill="1" applyBorder="1" applyAlignment="1">
      <alignment horizontal="center" vertical="center"/>
    </xf>
    <xf numFmtId="165" fontId="2" fillId="4" borderId="10" xfId="0" applyNumberFormat="1" applyFont="1" applyFill="1" applyBorder="1" applyAlignment="1">
      <alignment horizontal="center" vertical="center"/>
    </xf>
    <xf numFmtId="6" fontId="2" fillId="2" borderId="22" xfId="0" applyNumberFormat="1" applyFont="1" applyFill="1" applyBorder="1" applyAlignment="1">
      <alignment horizontal="center"/>
    </xf>
    <xf numFmtId="6" fontId="2" fillId="0" borderId="11" xfId="0" applyNumberFormat="1" applyFont="1" applyBorder="1" applyAlignment="1">
      <alignment horizontal="center"/>
    </xf>
    <xf numFmtId="6" fontId="2" fillId="0" borderId="12" xfId="0" applyNumberFormat="1" applyFont="1" applyBorder="1" applyAlignment="1">
      <alignment horizontal="center"/>
    </xf>
    <xf numFmtId="2" fontId="0" fillId="2" borderId="0" xfId="0" applyNumberFormat="1" applyFill="1" applyAlignment="1">
      <alignment horizontal="center"/>
    </xf>
    <xf numFmtId="166" fontId="0" fillId="2" borderId="0" xfId="0" applyNumberFormat="1" applyFill="1" applyAlignment="1">
      <alignment horizontal="center"/>
    </xf>
    <xf numFmtId="166" fontId="0" fillId="2" borderId="0" xfId="2" applyNumberFormat="1" applyFont="1" applyFill="1" applyAlignment="1" applyProtection="1">
      <alignment horizontal="center"/>
    </xf>
    <xf numFmtId="6" fontId="2" fillId="4" borderId="7" xfId="0" applyNumberFormat="1" applyFont="1" applyFill="1" applyBorder="1" applyAlignment="1">
      <alignment horizontal="center"/>
    </xf>
    <xf numFmtId="6" fontId="0" fillId="2" borderId="2" xfId="0" applyNumberFormat="1" applyFill="1" applyBorder="1" applyAlignment="1">
      <alignment horizontal="center"/>
    </xf>
    <xf numFmtId="9" fontId="0" fillId="2" borderId="2" xfId="0" applyNumberFormat="1" applyFill="1" applyBorder="1" applyAlignment="1">
      <alignment horizontal="center"/>
    </xf>
    <xf numFmtId="0" fontId="0" fillId="6" borderId="1" xfId="0" applyFill="1" applyBorder="1"/>
    <xf numFmtId="0" fontId="2" fillId="6" borderId="10" xfId="0" applyFont="1" applyFill="1" applyBorder="1" applyAlignment="1">
      <alignment horizontal="right"/>
    </xf>
    <xf numFmtId="0" fontId="2" fillId="6" borderId="2" xfId="0" applyFont="1" applyFill="1" applyBorder="1" applyAlignment="1">
      <alignment horizontal="right"/>
    </xf>
    <xf numFmtId="1" fontId="2" fillId="6" borderId="11" xfId="0" applyNumberFormat="1" applyFont="1" applyFill="1" applyBorder="1" applyAlignment="1">
      <alignment horizontal="center"/>
    </xf>
    <xf numFmtId="1" fontId="2" fillId="6" borderId="2" xfId="0" applyNumberFormat="1" applyFont="1" applyFill="1" applyBorder="1" applyAlignment="1">
      <alignment horizontal="center"/>
    </xf>
    <xf numFmtId="0" fontId="0" fillId="0" borderId="0" xfId="0" applyAlignment="1">
      <alignment horizontal="center" vertical="center"/>
    </xf>
    <xf numFmtId="0" fontId="0" fillId="0" borderId="0" xfId="0" applyAlignment="1">
      <alignment vertical="center"/>
    </xf>
    <xf numFmtId="169" fontId="0" fillId="0" borderId="0" xfId="0" applyNumberFormat="1"/>
    <xf numFmtId="2" fontId="2" fillId="6" borderId="12" xfId="0" applyNumberFormat="1" applyFont="1" applyFill="1" applyBorder="1" applyAlignment="1">
      <alignment horizontal="center"/>
    </xf>
    <xf numFmtId="2" fontId="2" fillId="6" borderId="10" xfId="0" applyNumberFormat="1" applyFont="1" applyFill="1" applyBorder="1" applyAlignment="1">
      <alignment horizontal="center"/>
    </xf>
    <xf numFmtId="0" fontId="2" fillId="0" borderId="0" xfId="0" applyFont="1" applyAlignment="1">
      <alignment horizontal="center" vertical="center"/>
    </xf>
    <xf numFmtId="2" fontId="0" fillId="2" borderId="1" xfId="0" applyNumberFormat="1" applyFill="1" applyBorder="1" applyAlignment="1">
      <alignment horizontal="center"/>
    </xf>
    <xf numFmtId="6" fontId="4" fillId="0" borderId="4" xfId="0" applyNumberFormat="1" applyFont="1" applyBorder="1" applyAlignment="1" applyProtection="1">
      <alignment horizontal="center"/>
      <protection locked="0"/>
    </xf>
    <xf numFmtId="6" fontId="4" fillId="0" borderId="0" xfId="0" applyNumberFormat="1" applyFont="1" applyAlignment="1">
      <alignment horizontal="center"/>
    </xf>
    <xf numFmtId="6" fontId="5" fillId="0" borderId="0" xfId="0" applyNumberFormat="1" applyFont="1" applyAlignment="1">
      <alignment horizontal="center"/>
    </xf>
    <xf numFmtId="165" fontId="2" fillId="0" borderId="0" xfId="0" applyNumberFormat="1" applyFont="1" applyAlignment="1">
      <alignment horizontal="left" vertical="center"/>
    </xf>
    <xf numFmtId="9" fontId="0" fillId="0" borderId="0" xfId="1" applyFont="1" applyAlignment="1">
      <alignment horizontal="center"/>
    </xf>
    <xf numFmtId="0" fontId="11" fillId="0" borderId="0" xfId="0" applyFont="1" applyAlignment="1">
      <alignment horizontal="center" vertical="center"/>
    </xf>
    <xf numFmtId="0" fontId="8" fillId="0" borderId="0" xfId="0" applyFont="1" applyAlignment="1">
      <alignment vertical="center"/>
    </xf>
    <xf numFmtId="0" fontId="7" fillId="0" borderId="0" xfId="0" applyFont="1"/>
    <xf numFmtId="0" fontId="9" fillId="0" borderId="0" xfId="0" applyFont="1"/>
    <xf numFmtId="0" fontId="7" fillId="0" borderId="0" xfId="0" applyFont="1" applyAlignment="1">
      <alignment horizontal="center"/>
    </xf>
    <xf numFmtId="0" fontId="10" fillId="0" borderId="0" xfId="0" applyFont="1" applyAlignment="1">
      <alignment horizontal="center"/>
    </xf>
    <xf numFmtId="0" fontId="8" fillId="0" borderId="0" xfId="0" applyFont="1"/>
    <xf numFmtId="6" fontId="2" fillId="2" borderId="2" xfId="0" applyNumberFormat="1" applyFont="1" applyFill="1" applyBorder="1" applyAlignment="1">
      <alignment horizontal="center"/>
    </xf>
    <xf numFmtId="6" fontId="2" fillId="2" borderId="11" xfId="0" applyNumberFormat="1"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165" fontId="2" fillId="2" borderId="0" xfId="0" applyNumberFormat="1" applyFont="1" applyFill="1"/>
    <xf numFmtId="165" fontId="2" fillId="2" borderId="0" xfId="0" applyNumberFormat="1" applyFont="1" applyFill="1" applyAlignment="1">
      <alignment horizontal="center"/>
    </xf>
    <xf numFmtId="165" fontId="2" fillId="2" borderId="0" xfId="2" applyNumberFormat="1" applyFont="1" applyFill="1" applyAlignment="1">
      <alignment horizontal="center"/>
    </xf>
    <xf numFmtId="168" fontId="2" fillId="2" borderId="0" xfId="2" applyNumberFormat="1" applyFont="1" applyFill="1" applyAlignment="1">
      <alignment horizontal="center"/>
    </xf>
    <xf numFmtId="2" fontId="2" fillId="6" borderId="8" xfId="0" applyNumberFormat="1" applyFont="1" applyFill="1" applyBorder="1" applyAlignment="1">
      <alignment horizontal="center"/>
    </xf>
    <xf numFmtId="0" fontId="2" fillId="6" borderId="0" xfId="0" applyFont="1" applyFill="1" applyAlignment="1">
      <alignment horizontal="right"/>
    </xf>
    <xf numFmtId="0" fontId="12" fillId="9" borderId="0" xfId="0" applyFont="1" applyFill="1" applyAlignment="1">
      <alignment horizontal="left"/>
    </xf>
    <xf numFmtId="1" fontId="2" fillId="4" borderId="0" xfId="0" applyNumberFormat="1" applyFont="1" applyFill="1" applyAlignment="1">
      <alignment horizontal="left"/>
    </xf>
    <xf numFmtId="0" fontId="0" fillId="2" borderId="24" xfId="0" applyFill="1" applyBorder="1" applyAlignment="1">
      <alignment horizontal="center"/>
    </xf>
    <xf numFmtId="0" fontId="0" fillId="2" borderId="25" xfId="0" applyFill="1" applyBorder="1" applyAlignment="1">
      <alignment horizontal="center"/>
    </xf>
    <xf numFmtId="0" fontId="0" fillId="2" borderId="26" xfId="0" applyFill="1" applyBorder="1" applyAlignment="1">
      <alignment horizontal="center"/>
    </xf>
    <xf numFmtId="0" fontId="2" fillId="2" borderId="25" xfId="0" applyFont="1" applyFill="1" applyBorder="1" applyAlignment="1">
      <alignment horizontal="center"/>
    </xf>
    <xf numFmtId="6" fontId="2" fillId="0" borderId="0" xfId="0" applyNumberFormat="1" applyFont="1" applyAlignment="1">
      <alignment horizontal="right"/>
    </xf>
    <xf numFmtId="1" fontId="2" fillId="0" borderId="0" xfId="0" applyNumberFormat="1" applyFont="1" applyAlignment="1">
      <alignment horizontal="center"/>
    </xf>
    <xf numFmtId="0" fontId="2" fillId="0" borderId="0" xfId="0" applyFont="1" applyAlignment="1">
      <alignment horizontal="right"/>
    </xf>
    <xf numFmtId="10" fontId="2" fillId="0" borderId="0" xfId="1" applyNumberFormat="1" applyFont="1" applyAlignment="1">
      <alignment horizontal="center"/>
    </xf>
    <xf numFmtId="9" fontId="0" fillId="0" borderId="0" xfId="0" applyNumberFormat="1" applyAlignment="1">
      <alignment horizontal="center"/>
    </xf>
    <xf numFmtId="6" fontId="0" fillId="2" borderId="0" xfId="0" applyNumberFormat="1" applyFill="1" applyAlignment="1">
      <alignment horizontal="center" vertical="center"/>
    </xf>
    <xf numFmtId="6" fontId="0" fillId="0" borderId="0" xfId="0" applyNumberFormat="1" applyAlignment="1">
      <alignment horizontal="center" vertical="center"/>
    </xf>
    <xf numFmtId="0" fontId="0" fillId="11" borderId="0" xfId="0" applyFill="1" applyAlignment="1">
      <alignment horizontal="center"/>
    </xf>
    <xf numFmtId="0" fontId="0" fillId="12" borderId="0" xfId="0" applyFill="1" applyAlignment="1">
      <alignment horizontal="center"/>
    </xf>
    <xf numFmtId="0" fontId="0" fillId="12" borderId="0" xfId="0" quotePrefix="1" applyFill="1" applyAlignment="1">
      <alignment horizontal="center"/>
    </xf>
    <xf numFmtId="0" fontId="0" fillId="13" borderId="0" xfId="0" applyFill="1" applyAlignment="1">
      <alignment horizontal="center"/>
    </xf>
    <xf numFmtId="6" fontId="0" fillId="13" borderId="0" xfId="0" applyNumberFormat="1" applyFill="1" applyAlignment="1">
      <alignment horizontal="center" vertical="center"/>
    </xf>
    <xf numFmtId="170" fontId="0" fillId="13" borderId="0" xfId="0" applyNumberFormat="1" applyFill="1" applyAlignment="1">
      <alignment horizontal="center"/>
    </xf>
    <xf numFmtId="0" fontId="0" fillId="14" borderId="0" xfId="0" applyFill="1" applyAlignment="1">
      <alignment horizontal="center"/>
    </xf>
    <xf numFmtId="6" fontId="0" fillId="14" borderId="0" xfId="0" applyNumberFormat="1" applyFill="1" applyAlignment="1">
      <alignment horizontal="center" vertical="center"/>
    </xf>
    <xf numFmtId="170" fontId="0" fillId="14" borderId="0" xfId="0" applyNumberFormat="1" applyFill="1" applyAlignment="1">
      <alignment horizontal="center"/>
    </xf>
    <xf numFmtId="0" fontId="0" fillId="15" borderId="0" xfId="0" applyFill="1" applyAlignment="1">
      <alignment horizontal="center"/>
    </xf>
    <xf numFmtId="6" fontId="0" fillId="15" borderId="0" xfId="0" applyNumberFormat="1" applyFill="1" applyAlignment="1">
      <alignment horizontal="center" vertical="center"/>
    </xf>
    <xf numFmtId="170" fontId="0" fillId="15" borderId="0" xfId="0" applyNumberFormat="1" applyFill="1" applyAlignment="1">
      <alignment horizontal="center"/>
    </xf>
    <xf numFmtId="0" fontId="0" fillId="13" borderId="0" xfId="0" applyFill="1" applyAlignment="1">
      <alignment horizontal="center" vertical="center"/>
    </xf>
    <xf numFmtId="0" fontId="0" fillId="14" borderId="0" xfId="0" applyFill="1" applyAlignment="1">
      <alignment horizontal="center" vertical="center"/>
    </xf>
    <xf numFmtId="0" fontId="0" fillId="15" borderId="0" xfId="0" applyFill="1" applyAlignment="1">
      <alignment horizontal="center" vertical="center"/>
    </xf>
    <xf numFmtId="0" fontId="0" fillId="16" borderId="0" xfId="0" applyFill="1" applyAlignment="1">
      <alignment horizontal="center"/>
    </xf>
    <xf numFmtId="6" fontId="0" fillId="16" borderId="0" xfId="0" applyNumberFormat="1" applyFill="1" applyAlignment="1">
      <alignment horizontal="center" vertical="center"/>
    </xf>
    <xf numFmtId="0" fontId="0" fillId="16" borderId="0" xfId="0" applyFill="1" applyAlignment="1">
      <alignment horizontal="center" vertical="center"/>
    </xf>
    <xf numFmtId="170" fontId="0" fillId="16" borderId="0" xfId="0" applyNumberFormat="1" applyFill="1" applyAlignment="1">
      <alignment horizontal="center"/>
    </xf>
    <xf numFmtId="0" fontId="0" fillId="17" borderId="0" xfId="0" applyFill="1" applyAlignment="1">
      <alignment horizontal="center"/>
    </xf>
    <xf numFmtId="6" fontId="0" fillId="17" borderId="0" xfId="0" applyNumberFormat="1" applyFill="1" applyAlignment="1">
      <alignment horizontal="center" vertical="center"/>
    </xf>
    <xf numFmtId="0" fontId="0" fillId="17" borderId="0" xfId="0" applyFill="1" applyAlignment="1">
      <alignment horizontal="center" vertical="center"/>
    </xf>
    <xf numFmtId="170" fontId="0" fillId="17" borderId="0" xfId="0" applyNumberFormat="1" applyFill="1" applyAlignment="1">
      <alignment horizontal="center"/>
    </xf>
    <xf numFmtId="6" fontId="0" fillId="18" borderId="0" xfId="0" applyNumberFormat="1" applyFill="1" applyAlignment="1">
      <alignment horizontal="center" vertical="center"/>
    </xf>
    <xf numFmtId="0" fontId="0" fillId="18" borderId="0" xfId="0" applyFill="1" applyAlignment="1">
      <alignment horizontal="center" vertical="center"/>
    </xf>
    <xf numFmtId="170" fontId="0" fillId="18" borderId="0" xfId="0" applyNumberFormat="1" applyFill="1" applyAlignment="1">
      <alignment horizontal="center"/>
    </xf>
    <xf numFmtId="0" fontId="0" fillId="18" borderId="0" xfId="0" applyFill="1" applyAlignment="1">
      <alignment horizontal="center"/>
    </xf>
    <xf numFmtId="6" fontId="0" fillId="11" borderId="0" xfId="0" applyNumberFormat="1" applyFill="1" applyAlignment="1">
      <alignment horizontal="center" vertical="center"/>
    </xf>
    <xf numFmtId="0" fontId="0" fillId="11" borderId="0" xfId="0" applyFill="1" applyAlignment="1">
      <alignment horizontal="center" vertical="center"/>
    </xf>
    <xf numFmtId="170" fontId="0" fillId="11" borderId="0" xfId="0" applyNumberFormat="1" applyFill="1" applyAlignment="1">
      <alignment horizontal="center"/>
    </xf>
    <xf numFmtId="0" fontId="0" fillId="10" borderId="0" xfId="0" applyFill="1" applyAlignment="1">
      <alignment horizontal="center" vertical="center"/>
    </xf>
    <xf numFmtId="171" fontId="0" fillId="10" borderId="0" xfId="2" applyNumberFormat="1" applyFont="1" applyFill="1" applyAlignment="1">
      <alignment horizontal="center" vertical="center"/>
    </xf>
    <xf numFmtId="0" fontId="0" fillId="19" borderId="0" xfId="0" applyFill="1" applyAlignment="1">
      <alignment horizontal="center"/>
    </xf>
    <xf numFmtId="164" fontId="0" fillId="0" borderId="0" xfId="0" applyNumberFormat="1"/>
    <xf numFmtId="164" fontId="0" fillId="0" borderId="0" xfId="2" applyNumberFormat="1" applyFont="1" applyFill="1" applyAlignment="1">
      <alignment horizontal="center" vertical="center"/>
    </xf>
    <xf numFmtId="0" fontId="0" fillId="11" borderId="23" xfId="0" applyFill="1" applyBorder="1" applyAlignment="1">
      <alignment horizontal="center" vertical="center"/>
    </xf>
    <xf numFmtId="0" fontId="0" fillId="16" borderId="23" xfId="0" applyFill="1" applyBorder="1" applyAlignment="1">
      <alignment horizontal="center" vertical="center"/>
    </xf>
    <xf numFmtId="0" fontId="0" fillId="14" borderId="23" xfId="0" applyFill="1" applyBorder="1" applyAlignment="1">
      <alignment horizontal="center" vertical="center"/>
    </xf>
    <xf numFmtId="0" fontId="0" fillId="18" borderId="23" xfId="0" applyFill="1" applyBorder="1" applyAlignment="1">
      <alignment horizontal="center" vertical="center"/>
    </xf>
    <xf numFmtId="0" fontId="0" fillId="18" borderId="19" xfId="0" applyFill="1" applyBorder="1" applyAlignment="1">
      <alignment horizontal="center" vertical="center"/>
    </xf>
    <xf numFmtId="0" fontId="0" fillId="18" borderId="20" xfId="0" applyFill="1" applyBorder="1" applyAlignment="1">
      <alignment horizontal="center" vertical="center"/>
    </xf>
    <xf numFmtId="6" fontId="0" fillId="18" borderId="21" xfId="0" applyNumberFormat="1" applyFill="1" applyBorder="1" applyAlignment="1">
      <alignment horizontal="center" vertical="center"/>
    </xf>
    <xf numFmtId="0" fontId="0" fillId="13" borderId="19" xfId="0" applyFill="1" applyBorder="1" applyAlignment="1">
      <alignment horizontal="center" vertical="center"/>
    </xf>
    <xf numFmtId="0" fontId="0" fillId="13" borderId="20" xfId="0" applyFill="1" applyBorder="1" applyAlignment="1">
      <alignment horizontal="center" vertical="center"/>
    </xf>
    <xf numFmtId="6" fontId="0" fillId="13" borderId="21" xfId="0" applyNumberFormat="1" applyFill="1" applyBorder="1" applyAlignment="1">
      <alignment horizontal="center" vertical="center"/>
    </xf>
    <xf numFmtId="0" fontId="0" fillId="14" borderId="19" xfId="0" applyFill="1" applyBorder="1" applyAlignment="1">
      <alignment horizontal="center" vertical="center"/>
    </xf>
    <xf numFmtId="0" fontId="0" fillId="14" borderId="20" xfId="0" applyFill="1" applyBorder="1" applyAlignment="1">
      <alignment horizontal="center" vertical="center"/>
    </xf>
    <xf numFmtId="6" fontId="0" fillId="14" borderId="21" xfId="0" applyNumberFormat="1" applyFill="1" applyBorder="1" applyAlignment="1">
      <alignment horizontal="center" vertical="center"/>
    </xf>
    <xf numFmtId="0" fontId="0" fillId="15" borderId="19" xfId="0" applyFill="1" applyBorder="1" applyAlignment="1">
      <alignment horizontal="center" vertical="center"/>
    </xf>
    <xf numFmtId="0" fontId="0" fillId="15" borderId="20" xfId="0" applyFill="1" applyBorder="1" applyAlignment="1">
      <alignment horizontal="center" vertical="center"/>
    </xf>
    <xf numFmtId="6" fontId="0" fillId="15" borderId="21" xfId="0" applyNumberFormat="1" applyFill="1" applyBorder="1" applyAlignment="1">
      <alignment horizontal="center" vertical="center"/>
    </xf>
    <xf numFmtId="0" fontId="0" fillId="16" borderId="19" xfId="0" applyFill="1" applyBorder="1" applyAlignment="1">
      <alignment horizontal="center" vertical="center"/>
    </xf>
    <xf numFmtId="0" fontId="0" fillId="16" borderId="20" xfId="0" applyFill="1" applyBorder="1" applyAlignment="1">
      <alignment horizontal="center" vertical="center"/>
    </xf>
    <xf numFmtId="6" fontId="0" fillId="16" borderId="21" xfId="0" applyNumberFormat="1" applyFill="1" applyBorder="1" applyAlignment="1">
      <alignment horizontal="center" vertical="center"/>
    </xf>
    <xf numFmtId="0" fontId="0" fillId="17" borderId="23" xfId="0" applyFill="1" applyBorder="1" applyAlignment="1">
      <alignment horizontal="center" vertical="center"/>
    </xf>
    <xf numFmtId="0" fontId="0" fillId="17" borderId="19" xfId="0" applyFill="1" applyBorder="1" applyAlignment="1">
      <alignment horizontal="center" vertical="center"/>
    </xf>
    <xf numFmtId="0" fontId="0" fillId="17" borderId="20" xfId="0" applyFill="1" applyBorder="1" applyAlignment="1">
      <alignment horizontal="center" vertical="center"/>
    </xf>
    <xf numFmtId="6" fontId="0" fillId="17" borderId="21" xfId="0" applyNumberFormat="1" applyFill="1" applyBorder="1" applyAlignment="1">
      <alignment horizontal="center" vertical="center"/>
    </xf>
    <xf numFmtId="0" fontId="0" fillId="11" borderId="19" xfId="0" applyFill="1" applyBorder="1" applyAlignment="1">
      <alignment horizontal="center" vertical="center"/>
    </xf>
    <xf numFmtId="0" fontId="0" fillId="11" borderId="20" xfId="0" applyFill="1" applyBorder="1" applyAlignment="1">
      <alignment horizontal="center" vertical="center"/>
    </xf>
    <xf numFmtId="6" fontId="0" fillId="11" borderId="21" xfId="0" applyNumberFormat="1" applyFill="1" applyBorder="1" applyAlignment="1">
      <alignment horizontal="center" vertical="center"/>
    </xf>
    <xf numFmtId="166" fontId="2" fillId="0" borderId="0" xfId="0" applyNumberFormat="1" applyFont="1" applyAlignment="1">
      <alignment horizontal="center"/>
    </xf>
    <xf numFmtId="168" fontId="2" fillId="2" borderId="0" xfId="0" applyNumberFormat="1" applyFont="1" applyFill="1" applyAlignment="1">
      <alignment horizontal="center"/>
    </xf>
    <xf numFmtId="170" fontId="0" fillId="0" borderId="0" xfId="0" applyNumberFormat="1" applyAlignment="1">
      <alignment horizontal="center"/>
    </xf>
    <xf numFmtId="164" fontId="0" fillId="0" borderId="6" xfId="0" applyNumberFormat="1" applyBorder="1"/>
    <xf numFmtId="164" fontId="6" fillId="0" borderId="6" xfId="0" applyNumberFormat="1" applyFont="1" applyBorder="1"/>
    <xf numFmtId="170" fontId="0" fillId="18" borderId="0" xfId="0" applyNumberFormat="1" applyFill="1" applyAlignment="1">
      <alignment horizontal="right"/>
    </xf>
    <xf numFmtId="170" fontId="6" fillId="21" borderId="0" xfId="0" applyNumberFormat="1" applyFont="1" applyFill="1" applyAlignment="1">
      <alignment horizontal="right"/>
    </xf>
    <xf numFmtId="0" fontId="6" fillId="20" borderId="0" xfId="0" applyFont="1" applyFill="1" applyAlignment="1">
      <alignment horizontal="center"/>
    </xf>
    <xf numFmtId="0" fontId="6" fillId="0" borderId="0" xfId="0" applyFont="1" applyAlignment="1">
      <alignment horizontal="center"/>
    </xf>
    <xf numFmtId="0" fontId="6" fillId="0" borderId="0" xfId="0" applyFont="1"/>
    <xf numFmtId="170" fontId="6" fillId="22" borderId="0" xfId="0" applyNumberFormat="1" applyFont="1" applyFill="1" applyAlignment="1">
      <alignment horizontal="center"/>
    </xf>
    <xf numFmtId="0" fontId="0" fillId="0" borderId="27" xfId="0" applyBorder="1"/>
    <xf numFmtId="0" fontId="0" fillId="0" borderId="15" xfId="0" applyBorder="1"/>
    <xf numFmtId="0" fontId="0" fillId="0" borderId="13" xfId="0" applyBorder="1"/>
    <xf numFmtId="0" fontId="0" fillId="0" borderId="16" xfId="0" applyBorder="1"/>
    <xf numFmtId="0" fontId="0" fillId="0" borderId="17" xfId="0" applyBorder="1"/>
    <xf numFmtId="0" fontId="0" fillId="0" borderId="28" xfId="0" applyBorder="1"/>
    <xf numFmtId="0" fontId="0" fillId="0" borderId="18" xfId="0" applyBorder="1"/>
    <xf numFmtId="0" fontId="0" fillId="12" borderId="14" xfId="0" applyFill="1" applyBorder="1" applyAlignment="1">
      <alignment horizontal="center"/>
    </xf>
    <xf numFmtId="170" fontId="0" fillId="18" borderId="27" xfId="0" applyNumberFormat="1" applyFill="1" applyBorder="1" applyAlignment="1">
      <alignment horizontal="right"/>
    </xf>
    <xf numFmtId="0" fontId="0" fillId="12" borderId="27" xfId="0" quotePrefix="1" applyFill="1" applyBorder="1" applyAlignment="1">
      <alignment horizontal="center"/>
    </xf>
    <xf numFmtId="0" fontId="0" fillId="0" borderId="27" xfId="0" applyBorder="1" applyAlignment="1">
      <alignment horizontal="center"/>
    </xf>
    <xf numFmtId="170" fontId="6" fillId="21" borderId="27" xfId="0" applyNumberFormat="1" applyFont="1" applyFill="1" applyBorder="1" applyAlignment="1">
      <alignment horizontal="right"/>
    </xf>
    <xf numFmtId="0" fontId="6" fillId="20" borderId="27" xfId="0" applyFont="1" applyFill="1" applyBorder="1" applyAlignment="1">
      <alignment horizontal="center"/>
    </xf>
    <xf numFmtId="0" fontId="6" fillId="0" borderId="27" xfId="0" applyFont="1" applyBorder="1" applyAlignment="1">
      <alignment horizontal="center"/>
    </xf>
    <xf numFmtId="0" fontId="6" fillId="0" borderId="27" xfId="0" applyFont="1" applyBorder="1"/>
    <xf numFmtId="0" fontId="0" fillId="2" borderId="5" xfId="0" applyFill="1" applyBorder="1"/>
    <xf numFmtId="166" fontId="0" fillId="0" borderId="0" xfId="0" applyNumberFormat="1" applyAlignment="1">
      <alignment horizontal="center"/>
    </xf>
    <xf numFmtId="0" fontId="2" fillId="0" borderId="0" xfId="0" applyFont="1" applyAlignment="1">
      <alignment horizontal="left"/>
    </xf>
    <xf numFmtId="1" fontId="2" fillId="6" borderId="12" xfId="0" applyNumberFormat="1" applyFont="1" applyFill="1" applyBorder="1" applyAlignment="1" applyProtection="1">
      <alignment horizontal="center"/>
      <protection locked="0"/>
    </xf>
    <xf numFmtId="0" fontId="2" fillId="2" borderId="15" xfId="0" applyFont="1" applyFill="1" applyBorder="1" applyAlignment="1">
      <alignment horizontal="center"/>
    </xf>
    <xf numFmtId="6" fontId="2" fillId="2" borderId="18" xfId="0" applyNumberFormat="1" applyFont="1" applyFill="1" applyBorder="1" applyAlignment="1">
      <alignment horizontal="center"/>
    </xf>
    <xf numFmtId="0" fontId="0" fillId="2" borderId="14" xfId="0" applyFill="1" applyBorder="1" applyAlignment="1">
      <alignment horizontal="center"/>
    </xf>
    <xf numFmtId="0" fontId="2" fillId="2" borderId="17" xfId="0" applyFont="1" applyFill="1" applyBorder="1" applyAlignment="1">
      <alignment horizontal="right" indent="1"/>
    </xf>
    <xf numFmtId="168" fontId="2" fillId="8" borderId="0" xfId="0" applyNumberFormat="1" applyFont="1" applyFill="1" applyAlignment="1">
      <alignment horizontal="left" vertical="center"/>
    </xf>
    <xf numFmtId="165" fontId="0" fillId="0" borderId="0" xfId="6" applyNumberFormat="1" applyFont="1"/>
    <xf numFmtId="8" fontId="0" fillId="0" borderId="3" xfId="0" applyNumberFormat="1" applyBorder="1"/>
    <xf numFmtId="8" fontId="2" fillId="0" borderId="0" xfId="0" applyNumberFormat="1" applyFont="1"/>
    <xf numFmtId="9" fontId="0" fillId="4" borderId="0" xfId="0" applyNumberFormat="1" applyFill="1" applyAlignment="1">
      <alignment horizontal="left"/>
    </xf>
    <xf numFmtId="0" fontId="2" fillId="0" borderId="5" xfId="0" applyFont="1" applyBorder="1" applyAlignment="1">
      <alignment horizontal="center" vertical="center"/>
    </xf>
    <xf numFmtId="0" fontId="0" fillId="2" borderId="6" xfId="0" applyFill="1" applyBorder="1" applyAlignment="1">
      <alignment horizontal="center"/>
    </xf>
    <xf numFmtId="0" fontId="0" fillId="2" borderId="7" xfId="0" applyFill="1" applyBorder="1" applyAlignment="1">
      <alignment horizontal="center"/>
    </xf>
    <xf numFmtId="0" fontId="2" fillId="0" borderId="8" xfId="0" applyFont="1" applyBorder="1" applyAlignment="1">
      <alignment horizontal="center" vertical="center"/>
    </xf>
    <xf numFmtId="9" fontId="0" fillId="0" borderId="9" xfId="1" applyFont="1" applyBorder="1" applyAlignment="1">
      <alignment horizontal="center"/>
    </xf>
    <xf numFmtId="9" fontId="0" fillId="0" borderId="10" xfId="0" applyNumberFormat="1" applyBorder="1" applyAlignment="1">
      <alignment horizontal="center"/>
    </xf>
    <xf numFmtId="0" fontId="2" fillId="4" borderId="0" xfId="0" applyFont="1" applyFill="1" applyAlignment="1">
      <alignment horizontal="left" vertical="center" wrapText="1"/>
    </xf>
    <xf numFmtId="0" fontId="2" fillId="8" borderId="0" xfId="0" applyFont="1" applyFill="1" applyAlignment="1">
      <alignment horizontal="right" vertical="center"/>
    </xf>
    <xf numFmtId="0" fontId="2" fillId="4" borderId="5" xfId="0" applyFont="1" applyFill="1" applyBorder="1" applyAlignment="1">
      <alignment horizontal="center"/>
    </xf>
    <xf numFmtId="0" fontId="2" fillId="4" borderId="6" xfId="0" applyFont="1" applyFill="1" applyBorder="1" applyAlignment="1">
      <alignment horizontal="center"/>
    </xf>
    <xf numFmtId="0" fontId="2" fillId="4" borderId="7" xfId="0" applyFont="1" applyFill="1" applyBorder="1" applyAlignment="1">
      <alignment horizontal="center"/>
    </xf>
    <xf numFmtId="0" fontId="2" fillId="4" borderId="0" xfId="0" applyFont="1" applyFill="1" applyAlignment="1">
      <alignment horizontal="center"/>
    </xf>
    <xf numFmtId="0" fontId="2" fillId="4" borderId="2" xfId="0" applyFont="1" applyFill="1" applyBorder="1" applyAlignment="1">
      <alignment horizontal="center"/>
    </xf>
    <xf numFmtId="0" fontId="0" fillId="0" borderId="0" xfId="0" applyAlignment="1">
      <alignment horizontal="left" wrapText="1"/>
    </xf>
    <xf numFmtId="165" fontId="0" fillId="4" borderId="0" xfId="0" applyNumberFormat="1" applyFill="1" applyAlignment="1">
      <alignment horizontal="center"/>
    </xf>
    <xf numFmtId="0" fontId="0" fillId="2" borderId="0" xfId="0" applyFill="1" applyAlignment="1">
      <alignment horizontal="center" wrapText="1"/>
    </xf>
    <xf numFmtId="6" fontId="0" fillId="2" borderId="14" xfId="0" applyNumberFormat="1" applyFill="1" applyBorder="1" applyAlignment="1">
      <alignment horizontal="center"/>
    </xf>
    <xf numFmtId="6" fontId="0" fillId="2" borderId="15" xfId="0" applyNumberFormat="1" applyFill="1" applyBorder="1" applyAlignment="1">
      <alignment horizontal="center"/>
    </xf>
    <xf numFmtId="0" fontId="0" fillId="13" borderId="0" xfId="0" applyFill="1" applyAlignment="1">
      <alignment horizontal="center"/>
    </xf>
    <xf numFmtId="0" fontId="6" fillId="22" borderId="0" xfId="0" applyFont="1" applyFill="1" applyAlignment="1">
      <alignment horizontal="center"/>
    </xf>
    <xf numFmtId="170" fontId="0" fillId="18" borderId="0" xfId="0" applyNumberFormat="1" applyFill="1" applyAlignment="1">
      <alignment horizontal="center"/>
    </xf>
    <xf numFmtId="170" fontId="6" fillId="21" borderId="0" xfId="0" applyNumberFormat="1" applyFont="1" applyFill="1" applyAlignment="1">
      <alignment horizontal="center"/>
    </xf>
    <xf numFmtId="0" fontId="0" fillId="13" borderId="27" xfId="0" applyFill="1" applyBorder="1" applyAlignment="1">
      <alignment horizontal="center"/>
    </xf>
    <xf numFmtId="0" fontId="6" fillId="22" borderId="27" xfId="0" applyFont="1" applyFill="1" applyBorder="1" applyAlignment="1">
      <alignment horizontal="center"/>
    </xf>
  </cellXfs>
  <cellStyles count="7">
    <cellStyle name="Comma" xfId="2" builtinId="3"/>
    <cellStyle name="Currency" xfId="6" builtinId="4"/>
    <cellStyle name="Normal" xfId="0" builtinId="0"/>
    <cellStyle name="Normal 2" xfId="3" xr:uid="{BF5250B0-A5FD-DC44-9E5B-7C3240494860}"/>
    <cellStyle name="Normal 2 2" xfId="4" xr:uid="{1B87F0D3-3382-DF46-B07D-EB9448ACA73E}"/>
    <cellStyle name="Percent" xfId="1" builtinId="5"/>
    <cellStyle name="Percent 2" xfId="5" xr:uid="{A81A8BF2-9984-104B-9117-420898AAEE93}"/>
  </cellStyles>
  <dxfs count="13">
    <dxf>
      <font>
        <b/>
        <i val="0"/>
        <strike val="0"/>
        <condense val="0"/>
        <extend val="0"/>
        <outline val="0"/>
        <shadow val="0"/>
        <u val="none"/>
        <vertAlign val="baseline"/>
        <sz val="16"/>
        <color theme="1"/>
        <name val="Calibri"/>
        <family val="2"/>
        <scheme val="minor"/>
      </font>
      <alignment horizontal="general" vertical="center" textRotation="0" wrapText="0" indent="0" justifyLastLine="0" shrinkToFit="0" readingOrder="0"/>
      <protection locked="1" hidden="0"/>
    </dxf>
    <dxf>
      <font>
        <b val="0"/>
        <i val="0"/>
        <strike val="0"/>
        <condense val="0"/>
        <extend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condense val="0"/>
        <extend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val="0"/>
        <i val="0"/>
        <strike val="0"/>
        <outline val="0"/>
        <shadow val="0"/>
        <u val="none"/>
        <vertAlign val="baseline"/>
        <sz val="28"/>
        <color theme="1"/>
        <name val="Calibri"/>
        <family val="2"/>
        <scheme val="minor"/>
      </font>
      <alignment horizontal="center" vertical="center" textRotation="0" wrapText="0" indent="0" justifyLastLine="0" shrinkToFit="0" readingOrder="0"/>
      <protection locked="1" hidden="0"/>
    </dxf>
    <dxf>
      <font>
        <b/>
        <i val="0"/>
        <strike val="0"/>
        <outline val="0"/>
        <shadow val="0"/>
        <u val="none"/>
        <vertAlign val="baseline"/>
        <sz val="16"/>
        <color theme="1"/>
        <name val="Calibri"/>
        <family val="2"/>
        <scheme val="minor"/>
      </font>
      <alignment horizontal="general" vertical="center" textRotation="0" wrapText="0" indent="0" justifyLastLine="0" shrinkToFit="0" readingOrder="0"/>
      <protection locked="1" hidden="0"/>
    </dxf>
    <dxf>
      <font>
        <b/>
        <i val="0"/>
        <strike val="0"/>
        <outline val="0"/>
        <shadow val="0"/>
        <u val="none"/>
        <vertAlign val="baseline"/>
        <sz val="14"/>
        <color theme="1"/>
        <name val="Calibri"/>
        <family val="2"/>
        <scheme val="minor"/>
      </font>
      <protection locked="1" hidden="0"/>
    </dxf>
  </dxfs>
  <tableStyles count="0" defaultTableStyle="TableStyleMedium2" defaultPivotStyle="PivotStyleLight16"/>
  <colors>
    <mruColors>
      <color rgb="FFFFCED4"/>
      <color rgb="FF1D3942"/>
      <color rgb="FF2A2A2A"/>
      <color rgb="FFCDF2D3"/>
      <color rgb="FFD9E1F3"/>
      <color rgb="FF94E8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37</xdr:row>
          <xdr:rowOff>12700</xdr:rowOff>
        </xdr:from>
        <xdr:to>
          <xdr:col>5</xdr:col>
          <xdr:colOff>673100</xdr:colOff>
          <xdr:row>38</xdr:row>
          <xdr:rowOff>190500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37</xdr:row>
          <xdr:rowOff>12700</xdr:rowOff>
        </xdr:from>
        <xdr:to>
          <xdr:col>5</xdr:col>
          <xdr:colOff>673100</xdr:colOff>
          <xdr:row>38</xdr:row>
          <xdr:rowOff>190500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400-000002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1193800</xdr:colOff>
          <xdr:row>37</xdr:row>
          <xdr:rowOff>12700</xdr:rowOff>
        </xdr:from>
        <xdr:to>
          <xdr:col>5</xdr:col>
          <xdr:colOff>647700</xdr:colOff>
          <xdr:row>38</xdr:row>
          <xdr:rowOff>190500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1193800</xdr:colOff>
          <xdr:row>37</xdr:row>
          <xdr:rowOff>0</xdr:rowOff>
        </xdr:from>
        <xdr:to>
          <xdr:col>5</xdr:col>
          <xdr:colOff>660400</xdr:colOff>
          <xdr:row>38</xdr:row>
          <xdr:rowOff>177800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1193800</xdr:colOff>
          <xdr:row>37</xdr:row>
          <xdr:rowOff>12700</xdr:rowOff>
        </xdr:from>
        <xdr:to>
          <xdr:col>5</xdr:col>
          <xdr:colOff>660400</xdr:colOff>
          <xdr:row>38</xdr:row>
          <xdr:rowOff>190500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37</xdr:row>
          <xdr:rowOff>12700</xdr:rowOff>
        </xdr:from>
        <xdr:to>
          <xdr:col>6</xdr:col>
          <xdr:colOff>25400</xdr:colOff>
          <xdr:row>38</xdr:row>
          <xdr:rowOff>190500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37</xdr:row>
          <xdr:rowOff>25400</xdr:rowOff>
        </xdr:from>
        <xdr:to>
          <xdr:col>6</xdr:col>
          <xdr:colOff>25400</xdr:colOff>
          <xdr:row>39</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9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pitchFamily="2" charset="0"/>
                  <a:cs typeface="Calibri" pitchFamily="2" charset="0"/>
                </a:rPr>
                <a:t>Zero Balance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ichard Gambord" id="{490B1C38-C0B2-844F-823B-16CE7D5F412F}" userId="S::Richard@AffordableHomeFinance.com::fc1fccdb-1706-42d9-823a-637e267820bc" providerId="AD"/>
  <person displayName="Richard Gambord" id="{3CDAAA5F-B4F4-3747-9B77-A5EE0AFE5647}" userId="S::richard@affordablehomefinance.com::fc1fccdb-1706-42d9-823a-637e267820b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EE499E-FE31-804F-A16F-43AA01D8F799}" name="Table1" displayName="Table1" ref="A1:K39" totalsRowShown="0" headerRowDxfId="12" dataDxfId="11">
  <autoFilter ref="A1:K39" xr:uid="{7BEE499E-FE31-804F-A16F-43AA01D8F799}"/>
  <sortState xmlns:xlrd2="http://schemas.microsoft.com/office/spreadsheetml/2017/richdata2" ref="A2:K39">
    <sortCondition ref="K1:K39"/>
  </sortState>
  <tableColumns count="11">
    <tableColumn id="1" xr3:uid="{285317F3-47FA-8C40-86AE-5DDEE774FF74}" name="LenderPrice?" dataDxfId="10"/>
    <tableColumn id="2" xr3:uid="{8ACEAC05-01BC-BB44-9A1B-E3C7DA2A3D00}" name="Conventional?" dataDxfId="9"/>
    <tableColumn id="3" xr3:uid="{75F71BB8-76F3-3C48-B68C-76AB997661B3}" name="Reverse?" dataDxfId="8"/>
    <tableColumn id="20" xr3:uid="{6F591A0E-1DF2-364E-A595-1F25D6D250B6}" name="Jumbo?" dataDxfId="7"/>
    <tableColumn id="22" xr3:uid="{655F421A-C742-7140-8713-3778E0EEA4BA}" name="FHA?" dataDxfId="6"/>
    <tableColumn id="23" xr3:uid="{A8A1C01E-6D0C-F54F-88E8-CDC0988BA8EC}" name="USDA?" dataDxfId="5"/>
    <tableColumn id="19" xr3:uid="{91ED0201-92D5-F947-853F-3E2334801F59}" name="DSCR?" dataDxfId="4"/>
    <tableColumn id="21" xr3:uid="{A3D7FDB6-721A-3E46-A48E-20F36811D098}" name="VA?" dataDxfId="3"/>
    <tableColumn id="4" xr3:uid="{13C1FCB0-289F-AC45-A47F-7FC6F3259E3C}" name="ITIN?" dataDxfId="2"/>
    <tableColumn id="18" xr3:uid="{E772EA3F-E90F-C14C-893A-0330461CD5C2}" name="Hard Money Private?" dataDxfId="1"/>
    <tableColumn id="15" xr3:uid="{D2D2AA3B-FF53-F640-825C-994D8C712731}" name="Lenders" dataDxfId="0"/>
  </tableColumns>
  <tableStyleInfo name="TableStyleLight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4" dT="2023-06-10T20:05:27.78" personId="{3CDAAA5F-B4F4-3747-9B77-A5EE0AFE5647}" id="{7FC424D7-6961-5543-8C1A-31E72E431402}">
    <text>Only non-QM loans</text>
  </threadedComment>
  <threadedComment ref="C38" dT="2023-05-20T19:38:37.77" personId="{490B1C38-C0B2-844F-823B-16CE7D5F412F}" id="{8DB14CD9-5F38-CC45-9170-02AD9DA34329}">
    <text>https://app.quantumreverse.com/</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4BAAC-1FFE-F248-8596-01A1269C0F45}">
  <sheetPr codeName="Sheet1"/>
  <dimension ref="A1:K39"/>
  <sheetViews>
    <sheetView zoomScale="114" zoomScaleNormal="114" workbookViewId="0">
      <pane ySplit="1" topLeftCell="A30" activePane="bottomLeft" state="frozen"/>
      <selection activeCell="A2" sqref="A2"/>
      <selection pane="bottomLeft" activeCell="L29" sqref="L29"/>
    </sheetView>
  </sheetViews>
  <sheetFormatPr baseColWidth="10" defaultColWidth="248.6640625" defaultRowHeight="21" x14ac:dyDescent="0.25"/>
  <cols>
    <col min="1" max="1" width="17.6640625" customWidth="1"/>
    <col min="2" max="2" width="18.1640625" style="142" bestFit="1" customWidth="1"/>
    <col min="3" max="8" width="13.33203125" style="142" customWidth="1"/>
    <col min="9" max="9" width="10" style="142" customWidth="1"/>
    <col min="10" max="10" width="27" style="141" customWidth="1"/>
    <col min="11" max="11" width="41.33203125" customWidth="1"/>
    <col min="12" max="90" width="15" bestFit="1" customWidth="1"/>
    <col min="91" max="990" width="16.33203125" bestFit="1" customWidth="1"/>
    <col min="991" max="9990" width="17.6640625" bestFit="1" customWidth="1"/>
    <col min="9991" max="16359" width="19.1640625" bestFit="1" customWidth="1"/>
  </cols>
  <sheetData>
    <row r="1" spans="1:11" x14ac:dyDescent="0.25">
      <c r="A1" s="144" t="s">
        <v>0</v>
      </c>
      <c r="B1" s="144" t="s">
        <v>1</v>
      </c>
      <c r="C1" s="144" t="s">
        <v>2</v>
      </c>
      <c r="D1" s="144" t="s">
        <v>3</v>
      </c>
      <c r="E1" s="144" t="s">
        <v>4</v>
      </c>
      <c r="F1" s="144" t="s">
        <v>5</v>
      </c>
      <c r="G1" s="144" t="s">
        <v>6</v>
      </c>
      <c r="H1" s="144" t="s">
        <v>7</v>
      </c>
      <c r="I1" s="144" t="s">
        <v>8</v>
      </c>
      <c r="J1" s="145" t="s">
        <v>9</v>
      </c>
      <c r="K1" s="146" t="s">
        <v>10</v>
      </c>
    </row>
    <row r="2" spans="1:11" ht="37" x14ac:dyDescent="0.2">
      <c r="A2" s="140"/>
      <c r="B2" s="140" t="s">
        <v>11</v>
      </c>
      <c r="C2" s="140"/>
      <c r="D2" s="140"/>
      <c r="E2" s="140"/>
      <c r="F2" s="140"/>
      <c r="G2" s="140" t="s">
        <v>11</v>
      </c>
      <c r="H2" s="140"/>
      <c r="I2" s="140" t="s">
        <v>11</v>
      </c>
      <c r="J2" s="140"/>
      <c r="K2" s="141" t="s">
        <v>12</v>
      </c>
    </row>
    <row r="3" spans="1:11" ht="37" x14ac:dyDescent="0.2">
      <c r="A3" s="140"/>
      <c r="B3" s="140"/>
      <c r="C3" s="140"/>
      <c r="D3" s="140"/>
      <c r="E3" s="140"/>
      <c r="F3" s="140"/>
      <c r="G3" s="140" t="s">
        <v>11</v>
      </c>
      <c r="H3" s="140"/>
      <c r="I3" s="140" t="s">
        <v>11</v>
      </c>
      <c r="J3" s="140"/>
      <c r="K3" s="141" t="s">
        <v>13</v>
      </c>
    </row>
    <row r="4" spans="1:11" ht="37" x14ac:dyDescent="0.2">
      <c r="A4" s="140"/>
      <c r="B4" s="140" t="s">
        <v>11</v>
      </c>
      <c r="C4" s="140"/>
      <c r="D4" s="140"/>
      <c r="E4" s="140"/>
      <c r="F4" s="140"/>
      <c r="G4" s="140" t="s">
        <v>11</v>
      </c>
      <c r="H4" s="140"/>
      <c r="I4" s="140" t="s">
        <v>11</v>
      </c>
      <c r="J4" s="140"/>
      <c r="K4" s="141" t="s">
        <v>14</v>
      </c>
    </row>
    <row r="5" spans="1:11" ht="37" x14ac:dyDescent="0.2">
      <c r="A5" s="140" t="s">
        <v>11</v>
      </c>
      <c r="B5" s="140" t="s">
        <v>11</v>
      </c>
      <c r="C5" s="140"/>
      <c r="D5" s="140"/>
      <c r="E5" s="140" t="s">
        <v>11</v>
      </c>
      <c r="F5" s="140"/>
      <c r="G5" s="140"/>
      <c r="H5" s="140" t="s">
        <v>11</v>
      </c>
      <c r="I5" s="140"/>
      <c r="J5" s="140"/>
      <c r="K5" s="141" t="s">
        <v>15</v>
      </c>
    </row>
    <row r="6" spans="1:11" s="143" customFormat="1" ht="37" x14ac:dyDescent="0.2">
      <c r="A6" s="140"/>
      <c r="B6" s="140" t="s">
        <v>11</v>
      </c>
      <c r="C6" s="140"/>
      <c r="D6" s="140"/>
      <c r="E6" s="140"/>
      <c r="F6" s="140"/>
      <c r="G6" s="140" t="s">
        <v>11</v>
      </c>
      <c r="H6" s="140"/>
      <c r="I6" s="140"/>
      <c r="J6" s="140"/>
      <c r="K6" s="141" t="s">
        <v>16</v>
      </c>
    </row>
    <row r="7" spans="1:11" ht="37" x14ac:dyDescent="0.2">
      <c r="A7" s="140" t="s">
        <v>11</v>
      </c>
      <c r="B7" s="140" t="s">
        <v>11</v>
      </c>
      <c r="C7" s="140"/>
      <c r="D7" s="140" t="s">
        <v>11</v>
      </c>
      <c r="E7" s="140" t="s">
        <v>11</v>
      </c>
      <c r="F7" s="140" t="s">
        <v>11</v>
      </c>
      <c r="G7" s="140" t="s">
        <v>11</v>
      </c>
      <c r="H7" s="140" t="s">
        <v>11</v>
      </c>
      <c r="I7" s="140" t="s">
        <v>11</v>
      </c>
      <c r="J7" s="140"/>
      <c r="K7" s="141" t="s">
        <v>17</v>
      </c>
    </row>
    <row r="8" spans="1:11" ht="37" x14ac:dyDescent="0.2">
      <c r="A8" s="140"/>
      <c r="B8" s="140"/>
      <c r="C8" s="140"/>
      <c r="D8" s="140"/>
      <c r="E8" s="140"/>
      <c r="F8" s="140"/>
      <c r="G8" s="140"/>
      <c r="H8" s="140"/>
      <c r="I8" s="140"/>
      <c r="J8" s="140"/>
      <c r="K8" s="141" t="s">
        <v>18</v>
      </c>
    </row>
    <row r="9" spans="1:11" ht="37" x14ac:dyDescent="0.2">
      <c r="A9" s="140" t="s">
        <v>11</v>
      </c>
      <c r="B9" s="140" t="s">
        <v>11</v>
      </c>
      <c r="C9" s="140"/>
      <c r="D9" s="140" t="s">
        <v>11</v>
      </c>
      <c r="E9" s="140" t="s">
        <v>11</v>
      </c>
      <c r="F9" s="140" t="s">
        <v>11</v>
      </c>
      <c r="G9" s="140"/>
      <c r="H9" s="140" t="s">
        <v>11</v>
      </c>
      <c r="I9" s="140"/>
      <c r="J9" s="140"/>
      <c r="K9" s="141" t="s">
        <v>19</v>
      </c>
    </row>
    <row r="10" spans="1:11" ht="37" x14ac:dyDescent="0.2">
      <c r="A10" s="140"/>
      <c r="B10" s="140" t="s">
        <v>11</v>
      </c>
      <c r="C10" s="140"/>
      <c r="D10" s="140" t="s">
        <v>11</v>
      </c>
      <c r="E10" s="140" t="s">
        <v>11</v>
      </c>
      <c r="F10" s="140"/>
      <c r="G10" s="140"/>
      <c r="H10" s="140" t="s">
        <v>11</v>
      </c>
      <c r="I10" s="140"/>
      <c r="J10" s="140"/>
      <c r="K10" s="141" t="s">
        <v>20</v>
      </c>
    </row>
    <row r="11" spans="1:11" ht="37" x14ac:dyDescent="0.2">
      <c r="A11" s="140"/>
      <c r="B11" s="140" t="s">
        <v>11</v>
      </c>
      <c r="C11" s="140"/>
      <c r="D11" s="140"/>
      <c r="E11" s="140" t="s">
        <v>11</v>
      </c>
      <c r="F11" s="140" t="s">
        <v>11</v>
      </c>
      <c r="G11" s="140"/>
      <c r="H11" s="140" t="s">
        <v>11</v>
      </c>
      <c r="I11" s="140"/>
      <c r="J11" s="140"/>
      <c r="K11" s="141" t="s">
        <v>21</v>
      </c>
    </row>
    <row r="12" spans="1:11" ht="37" x14ac:dyDescent="0.2">
      <c r="A12" s="140"/>
      <c r="B12" s="140" t="s">
        <v>11</v>
      </c>
      <c r="C12" s="140"/>
      <c r="D12" s="140"/>
      <c r="E12" s="140"/>
      <c r="F12" s="140"/>
      <c r="G12" s="140" t="s">
        <v>11</v>
      </c>
      <c r="H12" s="140"/>
      <c r="I12" s="140" t="s">
        <v>11</v>
      </c>
      <c r="J12" s="140"/>
      <c r="K12" s="141" t="s">
        <v>22</v>
      </c>
    </row>
    <row r="13" spans="1:11" ht="37" x14ac:dyDescent="0.2">
      <c r="A13" s="140"/>
      <c r="B13" s="140" t="s">
        <v>11</v>
      </c>
      <c r="C13" s="140"/>
      <c r="D13" s="140"/>
      <c r="E13" s="140"/>
      <c r="F13" s="140"/>
      <c r="G13" s="140"/>
      <c r="H13" s="140"/>
      <c r="I13" s="140" t="s">
        <v>11</v>
      </c>
      <c r="J13" s="140"/>
      <c r="K13" s="141" t="s">
        <v>23</v>
      </c>
    </row>
    <row r="14" spans="1:11" ht="37" x14ac:dyDescent="0.2">
      <c r="A14" s="140" t="s">
        <v>11</v>
      </c>
      <c r="B14" s="140" t="s">
        <v>11</v>
      </c>
      <c r="C14" s="140"/>
      <c r="D14" s="140" t="s">
        <v>11</v>
      </c>
      <c r="E14" s="140"/>
      <c r="F14" s="140"/>
      <c r="G14" s="140" t="s">
        <v>11</v>
      </c>
      <c r="H14" s="140"/>
      <c r="I14" s="140"/>
      <c r="J14" s="140"/>
      <c r="K14" s="141" t="s">
        <v>24</v>
      </c>
    </row>
    <row r="15" spans="1:11" ht="37" x14ac:dyDescent="0.2">
      <c r="A15" s="140" t="s">
        <v>11</v>
      </c>
      <c r="B15" s="140" t="s">
        <v>11</v>
      </c>
      <c r="C15" s="140"/>
      <c r="D15" s="140" t="s">
        <v>11</v>
      </c>
      <c r="E15" s="140" t="s">
        <v>11</v>
      </c>
      <c r="F15" s="140"/>
      <c r="G15" s="140"/>
      <c r="H15" s="140" t="s">
        <v>11</v>
      </c>
      <c r="I15" s="140"/>
      <c r="J15" s="140"/>
      <c r="K15" s="141" t="s">
        <v>25</v>
      </c>
    </row>
    <row r="16" spans="1:11" ht="37" x14ac:dyDescent="0.2">
      <c r="A16" s="140" t="s">
        <v>11</v>
      </c>
      <c r="B16" s="140" t="s">
        <v>11</v>
      </c>
      <c r="C16" s="140"/>
      <c r="D16" s="140"/>
      <c r="E16" s="140" t="s">
        <v>11</v>
      </c>
      <c r="F16" s="140"/>
      <c r="G16" s="140"/>
      <c r="H16" s="140" t="s">
        <v>11</v>
      </c>
      <c r="I16" s="140" t="s">
        <v>11</v>
      </c>
      <c r="J16" s="140"/>
      <c r="K16" s="141" t="s">
        <v>26</v>
      </c>
    </row>
    <row r="17" spans="1:11" ht="37" x14ac:dyDescent="0.2">
      <c r="A17" s="140"/>
      <c r="B17" s="140"/>
      <c r="C17" s="140" t="s">
        <v>11</v>
      </c>
      <c r="D17" s="140"/>
      <c r="E17" s="140"/>
      <c r="F17" s="140"/>
      <c r="G17" s="140"/>
      <c r="H17" s="140"/>
      <c r="I17" s="140"/>
      <c r="J17" s="140"/>
      <c r="K17" s="141" t="s">
        <v>27</v>
      </c>
    </row>
    <row r="18" spans="1:11" ht="37" x14ac:dyDescent="0.2">
      <c r="A18" s="140" t="s">
        <v>11</v>
      </c>
      <c r="B18" s="140" t="s">
        <v>11</v>
      </c>
      <c r="C18" s="140"/>
      <c r="D18" s="140"/>
      <c r="E18" s="140" t="s">
        <v>11</v>
      </c>
      <c r="F18" s="140"/>
      <c r="G18" s="140"/>
      <c r="H18" s="140" t="s">
        <v>11</v>
      </c>
      <c r="I18" s="140"/>
      <c r="J18" s="140"/>
      <c r="K18" s="141" t="s">
        <v>28</v>
      </c>
    </row>
    <row r="19" spans="1:11" s="141" customFormat="1" ht="37" x14ac:dyDescent="0.2">
      <c r="A19" s="140" t="s">
        <v>11</v>
      </c>
      <c r="B19" s="140" t="s">
        <v>11</v>
      </c>
      <c r="C19" s="140"/>
      <c r="D19" s="140" t="s">
        <v>11</v>
      </c>
      <c r="E19" s="140"/>
      <c r="F19" s="140"/>
      <c r="G19" s="140" t="s">
        <v>11</v>
      </c>
      <c r="H19" s="140"/>
      <c r="I19" s="140" t="s">
        <v>11</v>
      </c>
      <c r="J19" s="140"/>
      <c r="K19" s="141" t="s">
        <v>29</v>
      </c>
    </row>
    <row r="20" spans="1:11" ht="37" x14ac:dyDescent="0.2">
      <c r="A20" s="140"/>
      <c r="B20" s="140" t="s">
        <v>11</v>
      </c>
      <c r="C20" s="140"/>
      <c r="D20" s="140"/>
      <c r="E20" s="140"/>
      <c r="F20" s="140"/>
      <c r="G20" s="140"/>
      <c r="H20" s="140"/>
      <c r="I20" s="140"/>
      <c r="J20" s="140"/>
      <c r="K20" s="141" t="s">
        <v>30</v>
      </c>
    </row>
    <row r="21" spans="1:11" ht="37" x14ac:dyDescent="0.2">
      <c r="A21" s="140" t="s">
        <v>11</v>
      </c>
      <c r="B21" s="140" t="s">
        <v>11</v>
      </c>
      <c r="C21" s="140"/>
      <c r="D21" s="140" t="s">
        <v>11</v>
      </c>
      <c r="E21" s="140" t="s">
        <v>11</v>
      </c>
      <c r="F21" s="140"/>
      <c r="G21" s="140"/>
      <c r="H21" s="140" t="s">
        <v>11</v>
      </c>
      <c r="I21" s="140" t="s">
        <v>11</v>
      </c>
      <c r="J21" s="140"/>
      <c r="K21" s="141" t="s">
        <v>31</v>
      </c>
    </row>
    <row r="22" spans="1:11" ht="37" x14ac:dyDescent="0.2">
      <c r="A22" s="140"/>
      <c r="B22" s="140"/>
      <c r="C22" s="140" t="s">
        <v>11</v>
      </c>
      <c r="D22" s="140"/>
      <c r="E22" s="140" t="s">
        <v>11</v>
      </c>
      <c r="F22" s="140"/>
      <c r="G22" s="140"/>
      <c r="H22" s="140"/>
      <c r="I22" s="140"/>
      <c r="J22" s="140" t="s">
        <v>11</v>
      </c>
      <c r="K22" s="141" t="s">
        <v>32</v>
      </c>
    </row>
    <row r="23" spans="1:11" ht="37" x14ac:dyDescent="0.2">
      <c r="A23" s="140"/>
      <c r="B23" s="140"/>
      <c r="C23" s="140" t="s">
        <v>11</v>
      </c>
      <c r="D23" s="140"/>
      <c r="E23" s="140"/>
      <c r="F23" s="140"/>
      <c r="G23" s="140"/>
      <c r="H23" s="140"/>
      <c r="I23" s="140"/>
      <c r="J23" s="140"/>
      <c r="K23" s="141" t="s">
        <v>33</v>
      </c>
    </row>
    <row r="24" spans="1:11" ht="37" x14ac:dyDescent="0.2">
      <c r="A24" s="140"/>
      <c r="B24" s="140" t="s">
        <v>11</v>
      </c>
      <c r="C24" s="140"/>
      <c r="D24" s="140" t="s">
        <v>11</v>
      </c>
      <c r="E24" s="140" t="s">
        <v>11</v>
      </c>
      <c r="F24" s="140"/>
      <c r="G24" s="140"/>
      <c r="H24" s="140" t="s">
        <v>11</v>
      </c>
      <c r="I24" s="140" t="s">
        <v>11</v>
      </c>
      <c r="J24" s="140"/>
      <c r="K24" s="141" t="s">
        <v>34</v>
      </c>
    </row>
    <row r="25" spans="1:11" ht="37" x14ac:dyDescent="0.2">
      <c r="A25" s="140" t="s">
        <v>11</v>
      </c>
      <c r="B25" s="140" t="s">
        <v>11</v>
      </c>
      <c r="C25" s="140"/>
      <c r="D25" s="140" t="s">
        <v>11</v>
      </c>
      <c r="E25" s="140" t="s">
        <v>11</v>
      </c>
      <c r="F25" s="140"/>
      <c r="G25" s="140" t="s">
        <v>11</v>
      </c>
      <c r="H25" s="140" t="s">
        <v>11</v>
      </c>
      <c r="I25" s="140"/>
      <c r="J25" s="140"/>
      <c r="K25" s="141" t="s">
        <v>35</v>
      </c>
    </row>
    <row r="26" spans="1:11" ht="37" x14ac:dyDescent="0.2">
      <c r="A26" s="140"/>
      <c r="B26" s="140" t="s">
        <v>11</v>
      </c>
      <c r="C26" s="140" t="s">
        <v>11</v>
      </c>
      <c r="D26" s="140"/>
      <c r="E26" s="140"/>
      <c r="F26" s="140"/>
      <c r="G26" s="140" t="s">
        <v>11</v>
      </c>
      <c r="H26" s="140"/>
      <c r="I26" s="140" t="s">
        <v>11</v>
      </c>
      <c r="J26" s="140"/>
      <c r="K26" s="141" t="s">
        <v>36</v>
      </c>
    </row>
    <row r="27" spans="1:11" ht="37" x14ac:dyDescent="0.2">
      <c r="A27" s="140" t="s">
        <v>11</v>
      </c>
      <c r="B27" s="140" t="s">
        <v>11</v>
      </c>
      <c r="C27" s="140"/>
      <c r="D27" s="140"/>
      <c r="E27" s="140"/>
      <c r="F27" s="140"/>
      <c r="G27" s="140"/>
      <c r="H27" s="140"/>
      <c r="I27" s="140" t="s">
        <v>11</v>
      </c>
      <c r="J27" s="140"/>
      <c r="K27" s="141" t="s">
        <v>37</v>
      </c>
    </row>
    <row r="28" spans="1:11" ht="37" x14ac:dyDescent="0.2">
      <c r="A28" s="140"/>
      <c r="B28" s="140" t="s">
        <v>11</v>
      </c>
      <c r="C28" s="140"/>
      <c r="D28" s="140" t="s">
        <v>11</v>
      </c>
      <c r="E28" s="140"/>
      <c r="F28" s="140"/>
      <c r="G28" s="140" t="s">
        <v>11</v>
      </c>
      <c r="H28" s="140"/>
      <c r="I28" s="140" t="s">
        <v>11</v>
      </c>
      <c r="J28" s="140"/>
      <c r="K28" s="141" t="s">
        <v>38</v>
      </c>
    </row>
    <row r="29" spans="1:11" ht="37" x14ac:dyDescent="0.2">
      <c r="A29" s="140" t="s">
        <v>11</v>
      </c>
      <c r="B29" s="140" t="s">
        <v>11</v>
      </c>
      <c r="C29" s="140"/>
      <c r="D29" s="140"/>
      <c r="E29" s="140"/>
      <c r="F29" s="140"/>
      <c r="G29" s="140"/>
      <c r="H29" s="140"/>
      <c r="I29" s="140"/>
      <c r="J29" s="140"/>
      <c r="K29" s="141" t="s">
        <v>39</v>
      </c>
    </row>
    <row r="30" spans="1:11" ht="37" x14ac:dyDescent="0.2">
      <c r="A30" s="140" t="s">
        <v>11</v>
      </c>
      <c r="B30" s="140" t="s">
        <v>11</v>
      </c>
      <c r="C30" s="140"/>
      <c r="D30" s="140" t="s">
        <v>11</v>
      </c>
      <c r="E30" s="140"/>
      <c r="F30" s="140"/>
      <c r="G30" s="140" t="s">
        <v>11</v>
      </c>
      <c r="H30" s="140"/>
      <c r="I30" s="140"/>
      <c r="J30" s="140"/>
      <c r="K30" s="141" t="s">
        <v>40</v>
      </c>
    </row>
    <row r="31" spans="1:11" ht="37" x14ac:dyDescent="0.2">
      <c r="A31" s="140" t="s">
        <v>11</v>
      </c>
      <c r="B31" s="140" t="s">
        <v>11</v>
      </c>
      <c r="C31" s="140"/>
      <c r="D31" s="140" t="s">
        <v>11</v>
      </c>
      <c r="E31" s="140" t="s">
        <v>11</v>
      </c>
      <c r="F31" s="140"/>
      <c r="G31" s="140"/>
      <c r="H31" s="140" t="s">
        <v>11</v>
      </c>
      <c r="I31" s="140"/>
      <c r="J31" s="140"/>
      <c r="K31" s="141" t="s">
        <v>41</v>
      </c>
    </row>
    <row r="32" spans="1:11" ht="37" x14ac:dyDescent="0.2">
      <c r="A32" s="140" t="s">
        <v>11</v>
      </c>
      <c r="B32" s="140" t="s">
        <v>11</v>
      </c>
      <c r="C32" s="140" t="s">
        <v>11</v>
      </c>
      <c r="D32" s="140"/>
      <c r="E32" s="140" t="s">
        <v>11</v>
      </c>
      <c r="F32" s="140"/>
      <c r="G32" s="140"/>
      <c r="H32" s="140" t="s">
        <v>11</v>
      </c>
      <c r="I32" s="140" t="s">
        <v>11</v>
      </c>
      <c r="J32" s="140"/>
      <c r="K32" s="141" t="s">
        <v>42</v>
      </c>
    </row>
    <row r="33" spans="1:11" ht="37" x14ac:dyDescent="0.2">
      <c r="A33" s="140" t="s">
        <v>11</v>
      </c>
      <c r="B33" s="140" t="s">
        <v>11</v>
      </c>
      <c r="C33" s="140"/>
      <c r="D33" s="140" t="s">
        <v>11</v>
      </c>
      <c r="E33" s="140"/>
      <c r="F33" s="140"/>
      <c r="G33" s="140"/>
      <c r="H33" s="140"/>
      <c r="I33" s="140"/>
      <c r="J33" s="140"/>
      <c r="K33" s="141" t="s">
        <v>43</v>
      </c>
    </row>
    <row r="34" spans="1:11" ht="37" x14ac:dyDescent="0.2">
      <c r="A34" s="140" t="s">
        <v>11</v>
      </c>
      <c r="B34" s="140"/>
      <c r="C34" s="140"/>
      <c r="D34" s="140"/>
      <c r="E34" s="140"/>
      <c r="F34" s="140"/>
      <c r="G34" s="140" t="s">
        <v>11</v>
      </c>
      <c r="H34" s="140"/>
      <c r="I34" s="140"/>
      <c r="J34" s="140" t="s">
        <v>11</v>
      </c>
      <c r="K34" s="141" t="s">
        <v>44</v>
      </c>
    </row>
    <row r="35" spans="1:11" ht="37" x14ac:dyDescent="0.2">
      <c r="A35" s="140" t="s">
        <v>11</v>
      </c>
      <c r="B35" s="140" t="s">
        <v>11</v>
      </c>
      <c r="C35" s="140"/>
      <c r="D35" s="140" t="s">
        <v>11</v>
      </c>
      <c r="E35" s="140" t="s">
        <v>11</v>
      </c>
      <c r="F35" s="140"/>
      <c r="G35" s="140"/>
      <c r="H35" s="140" t="s">
        <v>11</v>
      </c>
      <c r="I35" s="140"/>
      <c r="J35" s="140"/>
      <c r="K35" s="141" t="s">
        <v>45</v>
      </c>
    </row>
    <row r="36" spans="1:11" ht="37" x14ac:dyDescent="0.2">
      <c r="A36" s="140"/>
      <c r="B36" s="140"/>
      <c r="C36" s="140" t="s">
        <v>11</v>
      </c>
      <c r="D36" s="140"/>
      <c r="E36" s="140"/>
      <c r="F36" s="140"/>
      <c r="G36" s="140"/>
      <c r="H36" s="140"/>
      <c r="I36" s="140"/>
      <c r="J36" s="140"/>
      <c r="K36" s="141" t="s">
        <v>46</v>
      </c>
    </row>
    <row r="37" spans="1:11" ht="37" x14ac:dyDescent="0.2">
      <c r="A37" s="140"/>
      <c r="B37" s="140"/>
      <c r="C37" s="140"/>
      <c r="D37" s="140" t="s">
        <v>11</v>
      </c>
      <c r="E37" s="140"/>
      <c r="F37" s="140"/>
      <c r="G37" s="140"/>
      <c r="H37" s="140"/>
      <c r="I37" s="140" t="s">
        <v>11</v>
      </c>
      <c r="J37" s="140"/>
      <c r="K37" s="141" t="s">
        <v>47</v>
      </c>
    </row>
    <row r="38" spans="1:11" ht="37" x14ac:dyDescent="0.2">
      <c r="A38" s="140"/>
      <c r="B38" s="140" t="s">
        <v>11</v>
      </c>
      <c r="C38" s="140" t="s">
        <v>11</v>
      </c>
      <c r="D38" s="140"/>
      <c r="E38" s="140"/>
      <c r="F38" s="140"/>
      <c r="G38" s="140"/>
      <c r="H38" s="140"/>
      <c r="I38" s="140"/>
      <c r="J38" s="140"/>
      <c r="K38" s="141" t="s">
        <v>48</v>
      </c>
    </row>
    <row r="39" spans="1:11" ht="37" x14ac:dyDescent="0.2">
      <c r="A39" s="140" t="s">
        <v>11</v>
      </c>
      <c r="B39" s="140" t="s">
        <v>11</v>
      </c>
      <c r="C39" s="140"/>
      <c r="D39" s="140" t="s">
        <v>11</v>
      </c>
      <c r="E39" s="140" t="s">
        <v>11</v>
      </c>
      <c r="F39" s="140"/>
      <c r="G39" s="140"/>
      <c r="H39" s="140" t="s">
        <v>11</v>
      </c>
      <c r="I39" s="140"/>
      <c r="J39" s="140"/>
      <c r="K39" s="141" t="s">
        <v>49</v>
      </c>
    </row>
  </sheetData>
  <sheetProtection sheet="1" objects="1" scenarios="1" selectLockedCells="1"/>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B8830-BD92-704C-8E6D-2B6C8A2241D2}">
  <sheetPr codeName="Sheet2"/>
  <dimension ref="A1:B8"/>
  <sheetViews>
    <sheetView zoomScale="215" zoomScaleNormal="215" workbookViewId="0">
      <selection activeCell="A7" sqref="A7"/>
    </sheetView>
  </sheetViews>
  <sheetFormatPr baseColWidth="10" defaultColWidth="11" defaultRowHeight="16" x14ac:dyDescent="0.2"/>
  <cols>
    <col min="1" max="1" width="41.33203125" bestFit="1" customWidth="1"/>
    <col min="2" max="2" width="12.6640625" bestFit="1" customWidth="1"/>
  </cols>
  <sheetData>
    <row r="1" spans="1:2" x14ac:dyDescent="0.2">
      <c r="A1" s="17" t="s">
        <v>50</v>
      </c>
    </row>
    <row r="2" spans="1:2" x14ac:dyDescent="0.2">
      <c r="B2" s="3"/>
    </row>
    <row r="3" spans="1:2" x14ac:dyDescent="0.2">
      <c r="A3" s="1" t="s">
        <v>51</v>
      </c>
      <c r="B3" s="30">
        <f>'Branch example'!$M$32-'Branch example'!$M$21*'Branch example'!L32/10000</f>
        <v>0</v>
      </c>
    </row>
    <row r="4" spans="1:2" x14ac:dyDescent="0.2">
      <c r="A4" t="s">
        <v>52</v>
      </c>
      <c r="B4" s="130">
        <f>'Branch example'!M21/10000</f>
        <v>2.75E-2</v>
      </c>
    </row>
    <row r="5" spans="1:2" x14ac:dyDescent="0.2">
      <c r="A5" s="1" t="s">
        <v>53</v>
      </c>
      <c r="B5" s="30">
        <v>2750</v>
      </c>
    </row>
    <row r="6" spans="1:2" x14ac:dyDescent="0.2">
      <c r="A6" t="s">
        <v>212</v>
      </c>
      <c r="B6" s="12">
        <f>'Branch example'!M5</f>
        <v>27500</v>
      </c>
    </row>
    <row r="8" spans="1:2" x14ac:dyDescent="0.2">
      <c r="A8" s="59"/>
    </row>
  </sheetData>
  <sheetProtection sheet="1" objects="1" scenarios="1" select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3ADF-3C16-FD4A-BF34-CFA5F677C4D9}">
  <sheetPr codeName="Sheet3"/>
  <dimension ref="A1:AB36"/>
  <sheetViews>
    <sheetView topLeftCell="N4" zoomScale="151" zoomScaleNormal="151" workbookViewId="0">
      <selection activeCell="S15" sqref="S15"/>
    </sheetView>
  </sheetViews>
  <sheetFormatPr baseColWidth="10" defaultColWidth="11" defaultRowHeight="16" x14ac:dyDescent="0.2"/>
  <cols>
    <col min="1" max="1" width="10.83203125" style="5"/>
    <col min="2" max="2" width="12.83203125" style="5" bestFit="1" customWidth="1"/>
    <col min="3" max="3" width="13.83203125" style="5" customWidth="1"/>
    <col min="4" max="4" width="12.33203125" style="5" bestFit="1" customWidth="1"/>
    <col min="5" max="5" width="11.5" style="5" bestFit="1" customWidth="1"/>
    <col min="6" max="9" width="11.5" style="5" customWidth="1"/>
    <col min="10" max="10" width="12" style="5" bestFit="1" customWidth="1"/>
    <col min="11" max="11" width="7.5" customWidth="1"/>
    <col min="12" max="13" width="11.83203125" style="5" bestFit="1" customWidth="1"/>
    <col min="14" max="14" width="10.5" style="5" bestFit="1" customWidth="1"/>
    <col min="15" max="15" width="29.33203125" style="5" customWidth="1"/>
    <col min="16" max="16" width="7.1640625" style="5" customWidth="1"/>
    <col min="17" max="17" width="15" bestFit="1" customWidth="1"/>
    <col min="18" max="18" width="14.6640625" customWidth="1"/>
    <col min="19" max="19" width="14.83203125" bestFit="1" customWidth="1"/>
    <col min="20" max="20" width="14.33203125" customWidth="1"/>
    <col min="21" max="21" width="14.83203125" bestFit="1" customWidth="1"/>
    <col min="22" max="23" width="11.6640625" bestFit="1" customWidth="1"/>
    <col min="24" max="24" width="12.1640625" customWidth="1"/>
    <col min="25" max="28" width="11.33203125" bestFit="1" customWidth="1"/>
  </cols>
  <sheetData>
    <row r="1" spans="1:24" x14ac:dyDescent="0.2">
      <c r="O1" s="5">
        <v>1454545.5</v>
      </c>
    </row>
    <row r="2" spans="1:24" s="129" customFormat="1" x14ac:dyDescent="0.2">
      <c r="A2" s="276"/>
      <c r="B2" s="276"/>
      <c r="C2" s="276"/>
      <c r="D2" s="276"/>
      <c r="E2" s="276"/>
      <c r="F2" s="276"/>
      <c r="G2" s="276"/>
      <c r="H2" s="276"/>
      <c r="I2" s="276"/>
      <c r="J2" s="276"/>
      <c r="L2" s="277" t="s">
        <v>226</v>
      </c>
      <c r="M2" s="277"/>
      <c r="N2" s="277"/>
      <c r="O2" s="265">
        <v>1000000</v>
      </c>
      <c r="P2" s="138"/>
      <c r="Q2" s="62" t="s">
        <v>58</v>
      </c>
      <c r="R2" s="120">
        <f>O5*Q3</f>
        <v>176000</v>
      </c>
      <c r="S2" s="278" t="s">
        <v>59</v>
      </c>
      <c r="T2" s="279"/>
      <c r="U2" s="279"/>
      <c r="V2" s="279"/>
      <c r="W2" s="279"/>
      <c r="X2" s="280"/>
    </row>
    <row r="3" spans="1:24" ht="17" thickBot="1" x14ac:dyDescent="0.25">
      <c r="A3" s="23" t="s">
        <v>54</v>
      </c>
      <c r="B3" s="23"/>
      <c r="C3" s="23"/>
      <c r="D3" s="23"/>
      <c r="E3" s="24"/>
      <c r="F3" s="24"/>
      <c r="G3" s="24"/>
      <c r="H3" s="24"/>
      <c r="I3" s="24" t="s">
        <v>55</v>
      </c>
      <c r="J3" s="24"/>
      <c r="L3" s="60" t="s">
        <v>56</v>
      </c>
      <c r="M3" s="61">
        <f>$L$23</f>
        <v>1000000</v>
      </c>
      <c r="N3" s="24"/>
      <c r="O3" s="47" t="s">
        <v>57</v>
      </c>
      <c r="P3" s="259"/>
      <c r="Q3" s="134">
        <v>8</v>
      </c>
      <c r="R3" s="96" t="s">
        <v>63</v>
      </c>
      <c r="S3" s="149" t="s">
        <v>64</v>
      </c>
      <c r="T3" s="150"/>
      <c r="U3" s="150"/>
      <c r="V3" s="150"/>
      <c r="W3" s="150"/>
      <c r="X3" s="96"/>
    </row>
    <row r="4" spans="1:24" x14ac:dyDescent="0.2">
      <c r="A4" s="6"/>
      <c r="B4" s="6"/>
      <c r="C4" s="6"/>
      <c r="D4" s="6" t="s">
        <v>60</v>
      </c>
      <c r="E4" s="6"/>
      <c r="F4" s="63">
        <v>1.2500000000000001E-2</v>
      </c>
      <c r="G4" s="63">
        <v>5.0000000000000001E-3</v>
      </c>
      <c r="H4" s="64"/>
      <c r="I4" s="65">
        <v>0.5</v>
      </c>
      <c r="J4" s="64" t="s">
        <v>61</v>
      </c>
      <c r="L4" s="263"/>
      <c r="M4" s="261" t="s">
        <v>62</v>
      </c>
      <c r="N4" s="6" t="s">
        <v>63</v>
      </c>
      <c r="O4" s="6" t="s">
        <v>64</v>
      </c>
      <c r="Q4" s="70">
        <f>R4/R5</f>
        <v>880000.00000000023</v>
      </c>
      <c r="R4" s="121">
        <f>R2</f>
        <v>176000</v>
      </c>
      <c r="S4" s="148">
        <f>Q4-R4</f>
        <v>704000.00000000023</v>
      </c>
      <c r="T4" s="147">
        <f>S4+$M5*(T$6-S$6)*T5</f>
        <v>1584000.0000000005</v>
      </c>
      <c r="U4" s="147">
        <f>T4+$M5*(U6-T6)*U5</f>
        <v>2464000.0000000009</v>
      </c>
      <c r="V4" s="147">
        <f>U4+$M5*(V6-U6)*V5</f>
        <v>3344000.0000000009</v>
      </c>
      <c r="W4" s="147">
        <f>V4+$M5*(W6-V6)*W5</f>
        <v>4224000.0000000009</v>
      </c>
      <c r="X4" s="147">
        <f>W4+$M5*(X6-W6)*X5</f>
        <v>5104000.0000000019</v>
      </c>
    </row>
    <row r="5" spans="1:24" ht="17" thickBot="1" x14ac:dyDescent="0.25">
      <c r="A5" s="91">
        <v>6.8900000000000003E-2</v>
      </c>
      <c r="B5" s="6"/>
      <c r="C5" s="67">
        <v>0.2</v>
      </c>
      <c r="D5" s="68">
        <f>1-C5</f>
        <v>0.8</v>
      </c>
      <c r="E5" s="6" t="s">
        <v>65</v>
      </c>
      <c r="F5" s="6" t="s">
        <v>66</v>
      </c>
      <c r="G5" s="6" t="s">
        <v>67</v>
      </c>
      <c r="H5" s="69" t="s">
        <v>68</v>
      </c>
      <c r="I5" s="6" t="s">
        <v>69</v>
      </c>
      <c r="J5" s="64" t="s">
        <v>69</v>
      </c>
      <c r="L5" s="264" t="s">
        <v>227</v>
      </c>
      <c r="M5" s="262">
        <f>M21*L23/10000+'Comp plan'!$B$3</f>
        <v>27500</v>
      </c>
      <c r="N5" s="10">
        <f>$M5*N6</f>
        <v>5499.9999999999991</v>
      </c>
      <c r="O5" s="57">
        <f>M5*O6</f>
        <v>22000</v>
      </c>
      <c r="P5" s="55"/>
      <c r="Q5" s="74">
        <v>1</v>
      </c>
      <c r="R5" s="122">
        <f>N17</f>
        <v>0.19999999999999996</v>
      </c>
      <c r="S5" s="74">
        <f>O17</f>
        <v>0.8</v>
      </c>
      <c r="T5" s="75">
        <f>100%</f>
        <v>1</v>
      </c>
      <c r="U5" s="75">
        <f>100%</f>
        <v>1</v>
      </c>
      <c r="V5" s="75">
        <f>100%</f>
        <v>1</v>
      </c>
      <c r="W5" s="75">
        <f>100%</f>
        <v>1</v>
      </c>
      <c r="X5" s="75">
        <f>100%</f>
        <v>1</v>
      </c>
    </row>
    <row r="6" spans="1:24" x14ac:dyDescent="0.2">
      <c r="A6" s="92" t="s">
        <v>70</v>
      </c>
      <c r="B6" s="6" t="s">
        <v>71</v>
      </c>
      <c r="C6" s="6" t="s">
        <v>72</v>
      </c>
      <c r="D6" s="6" t="s">
        <v>73</v>
      </c>
      <c r="E6" s="6" t="s">
        <v>74</v>
      </c>
      <c r="F6" s="6" t="s">
        <v>74</v>
      </c>
      <c r="G6" s="71" t="s">
        <v>74</v>
      </c>
      <c r="H6" s="72" t="s">
        <v>74</v>
      </c>
      <c r="I6" s="71" t="s">
        <v>75</v>
      </c>
      <c r="J6" s="64" t="s">
        <v>75</v>
      </c>
      <c r="L6" s="6" t="s">
        <v>76</v>
      </c>
      <c r="M6" s="6" t="s">
        <v>73</v>
      </c>
      <c r="N6" s="73">
        <f>N17</f>
        <v>0.19999999999999996</v>
      </c>
      <c r="O6" s="73">
        <f>O17</f>
        <v>0.8</v>
      </c>
      <c r="P6" s="167"/>
      <c r="Q6" s="123"/>
      <c r="R6" s="125" t="s">
        <v>77</v>
      </c>
      <c r="S6" s="126">
        <f>R2/N5</f>
        <v>32.000000000000007</v>
      </c>
      <c r="T6" s="126">
        <f>S6*2</f>
        <v>64.000000000000014</v>
      </c>
      <c r="U6" s="127">
        <f>$S6*3</f>
        <v>96.000000000000028</v>
      </c>
      <c r="V6" s="127">
        <f>$S6*4</f>
        <v>128.00000000000003</v>
      </c>
      <c r="W6" s="127">
        <f>S6*5</f>
        <v>160.00000000000003</v>
      </c>
      <c r="X6" s="127">
        <f>S6*6</f>
        <v>192.00000000000006</v>
      </c>
    </row>
    <row r="7" spans="1:24" x14ac:dyDescent="0.2">
      <c r="A7" s="93">
        <f t="shared" ref="A7:A14" si="0">$A$5</f>
        <v>6.8900000000000003E-2</v>
      </c>
      <c r="B7" s="76">
        <f t="shared" ref="B7:B14" si="1">D7/$D$5</f>
        <v>6875000</v>
      </c>
      <c r="C7" s="76">
        <f t="shared" ref="C7:C14" si="2">$C$5*B7</f>
        <v>1375000</v>
      </c>
      <c r="D7" s="77">
        <f t="shared" ref="D7:D14" si="3">M7</f>
        <v>5500000</v>
      </c>
      <c r="E7" s="77">
        <f t="shared" ref="E7:E14" si="4">-PMT(A7/12,360,D7)</f>
        <v>36186.226951032346</v>
      </c>
      <c r="F7" s="77">
        <f t="shared" ref="F7:F14" si="5">$F$4*B7/12</f>
        <v>7161.458333333333</v>
      </c>
      <c r="G7" s="77">
        <f t="shared" ref="G7:G14" si="6">$G$4*B7/12</f>
        <v>2864.5833333333335</v>
      </c>
      <c r="H7" s="77">
        <f t="shared" ref="H7:H14" si="7">SUM(E7:G7)</f>
        <v>46212.268617699017</v>
      </c>
      <c r="I7" s="77">
        <f t="shared" ref="I7:I14" si="8">H7/$I$4</f>
        <v>92424.537235398035</v>
      </c>
      <c r="J7" s="77">
        <f t="shared" ref="J7:J14" si="9">I7*12</f>
        <v>1109094.4468247765</v>
      </c>
      <c r="L7" s="5">
        <f>IF(50&lt;$M$21,50,0)</f>
        <v>50</v>
      </c>
      <c r="M7" s="7">
        <f t="shared" ref="M7:M14" si="10">IF(L7&gt;0,$M$5/L7*10000,0 )</f>
        <v>5500000</v>
      </c>
      <c r="N7" s="258">
        <f t="shared" ref="N7:N14" si="11">$L7*N$6</f>
        <v>9.9999999999999982</v>
      </c>
      <c r="O7" s="258">
        <f t="shared" ref="O7:O14" si="12">$L7*$O$6</f>
        <v>40</v>
      </c>
      <c r="Q7" s="78"/>
      <c r="R7" s="124" t="s">
        <v>78</v>
      </c>
      <c r="S7" s="131">
        <f>S6/12</f>
        <v>2.6666666666666674</v>
      </c>
      <c r="T7" s="131">
        <f>T6/12</f>
        <v>5.3333333333333348</v>
      </c>
      <c r="U7" s="132">
        <f>U6/12</f>
        <v>8.0000000000000018</v>
      </c>
      <c r="V7" s="132">
        <f>V6/12</f>
        <v>10.66666666666667</v>
      </c>
      <c r="W7" s="132">
        <f t="shared" ref="W7:X7" si="13">W6/12</f>
        <v>13.333333333333336</v>
      </c>
      <c r="X7" s="132">
        <f t="shared" si="13"/>
        <v>16.000000000000004</v>
      </c>
    </row>
    <row r="8" spans="1:24" x14ac:dyDescent="0.2">
      <c r="A8" s="92">
        <f t="shared" si="0"/>
        <v>6.8900000000000003E-2</v>
      </c>
      <c r="B8" s="37">
        <f t="shared" si="1"/>
        <v>3437500</v>
      </c>
      <c r="C8" s="37">
        <f t="shared" si="2"/>
        <v>687500</v>
      </c>
      <c r="D8" s="10">
        <f t="shared" si="3"/>
        <v>2750000</v>
      </c>
      <c r="E8" s="10">
        <f t="shared" si="4"/>
        <v>18093.113475516173</v>
      </c>
      <c r="F8" s="10">
        <f t="shared" si="5"/>
        <v>3580.7291666666665</v>
      </c>
      <c r="G8" s="10">
        <f t="shared" si="6"/>
        <v>1432.2916666666667</v>
      </c>
      <c r="H8" s="10">
        <f t="shared" si="7"/>
        <v>23106.134308849509</v>
      </c>
      <c r="I8" s="10">
        <f t="shared" si="8"/>
        <v>46212.268617699017</v>
      </c>
      <c r="J8" s="10">
        <f t="shared" si="9"/>
        <v>554547.22341238824</v>
      </c>
      <c r="L8" s="6">
        <f>IF(100&lt;$M$21,100,0)</f>
        <v>100</v>
      </c>
      <c r="M8" s="10">
        <f t="shared" si="10"/>
        <v>2750000</v>
      </c>
      <c r="N8" s="118">
        <f t="shared" si="11"/>
        <v>19.999999999999996</v>
      </c>
      <c r="O8" s="118">
        <f t="shared" si="12"/>
        <v>80</v>
      </c>
      <c r="Q8" s="5"/>
      <c r="R8" s="5"/>
      <c r="S8" s="6" t="s">
        <v>79</v>
      </c>
      <c r="T8" s="6" t="s">
        <v>80</v>
      </c>
      <c r="U8" s="6" t="s">
        <v>81</v>
      </c>
      <c r="V8" s="6" t="s">
        <v>82</v>
      </c>
      <c r="W8" s="6" t="s">
        <v>83</v>
      </c>
      <c r="X8" s="6" t="s">
        <v>84</v>
      </c>
    </row>
    <row r="9" spans="1:24" x14ac:dyDescent="0.2">
      <c r="A9" s="93">
        <f t="shared" si="0"/>
        <v>6.8900000000000003E-2</v>
      </c>
      <c r="B9" s="76">
        <f t="shared" si="1"/>
        <v>2750000</v>
      </c>
      <c r="C9" s="76">
        <f t="shared" si="2"/>
        <v>550000</v>
      </c>
      <c r="D9" s="77">
        <f t="shared" si="3"/>
        <v>2200000</v>
      </c>
      <c r="E9" s="77">
        <f t="shared" si="4"/>
        <v>14474.490780412938</v>
      </c>
      <c r="F9" s="77">
        <f t="shared" si="5"/>
        <v>2864.5833333333335</v>
      </c>
      <c r="G9" s="77">
        <f t="shared" si="6"/>
        <v>1145.8333333333333</v>
      </c>
      <c r="H9" s="77">
        <f t="shared" si="7"/>
        <v>18484.907447079604</v>
      </c>
      <c r="I9" s="77">
        <f t="shared" si="8"/>
        <v>36969.814894159208</v>
      </c>
      <c r="J9" s="77">
        <f t="shared" si="9"/>
        <v>443637.7787299105</v>
      </c>
      <c r="L9" s="5">
        <f>IF(125&lt;$M$21,125,0)</f>
        <v>125</v>
      </c>
      <c r="M9" s="77">
        <f t="shared" si="10"/>
        <v>2200000</v>
      </c>
      <c r="N9" s="258">
        <f t="shared" si="11"/>
        <v>24.999999999999993</v>
      </c>
      <c r="O9" s="258">
        <f t="shared" si="12"/>
        <v>100</v>
      </c>
      <c r="Q9" s="163"/>
      <c r="R9" s="163" t="s">
        <v>85</v>
      </c>
      <c r="S9" s="231">
        <f t="shared" ref="S9:X9" si="14">S4/$R$2</f>
        <v>4.0000000000000009</v>
      </c>
      <c r="T9" s="231">
        <f t="shared" si="14"/>
        <v>9.0000000000000018</v>
      </c>
      <c r="U9" s="231">
        <f t="shared" si="14"/>
        <v>14.000000000000005</v>
      </c>
      <c r="V9" s="231">
        <f t="shared" si="14"/>
        <v>19.000000000000004</v>
      </c>
      <c r="W9" s="231">
        <f t="shared" si="14"/>
        <v>24.000000000000004</v>
      </c>
      <c r="X9" s="231">
        <f t="shared" si="14"/>
        <v>29.000000000000011</v>
      </c>
    </row>
    <row r="10" spans="1:24" x14ac:dyDescent="0.2">
      <c r="A10" s="92">
        <f t="shared" si="0"/>
        <v>6.8900000000000003E-2</v>
      </c>
      <c r="B10" s="37">
        <f t="shared" si="1"/>
        <v>2291666.6666666665</v>
      </c>
      <c r="C10" s="37">
        <f t="shared" si="2"/>
        <v>458333.33333333331</v>
      </c>
      <c r="D10" s="10">
        <f t="shared" si="3"/>
        <v>1833333.3333333335</v>
      </c>
      <c r="E10" s="10">
        <f t="shared" si="4"/>
        <v>12062.075650344115</v>
      </c>
      <c r="F10" s="10">
        <f t="shared" si="5"/>
        <v>2387.1527777777778</v>
      </c>
      <c r="G10" s="10">
        <f t="shared" si="6"/>
        <v>954.86111111111097</v>
      </c>
      <c r="H10" s="10">
        <f t="shared" si="7"/>
        <v>15404.089539233004</v>
      </c>
      <c r="I10" s="10">
        <f t="shared" si="8"/>
        <v>30808.179078466008</v>
      </c>
      <c r="J10" s="10">
        <f t="shared" si="9"/>
        <v>369698.14894159208</v>
      </c>
      <c r="L10" s="6">
        <f>IF(150&lt;$M$21,150,0)</f>
        <v>150</v>
      </c>
      <c r="M10" s="10">
        <f t="shared" si="10"/>
        <v>1833333.3333333335</v>
      </c>
      <c r="N10" s="118">
        <f t="shared" si="11"/>
        <v>29.999999999999993</v>
      </c>
      <c r="O10" s="118">
        <f t="shared" si="12"/>
        <v>120</v>
      </c>
      <c r="Q10" s="5"/>
    </row>
    <row r="11" spans="1:24" x14ac:dyDescent="0.2">
      <c r="A11" s="93">
        <f t="shared" si="0"/>
        <v>6.8900000000000003E-2</v>
      </c>
      <c r="B11" s="76">
        <f t="shared" si="1"/>
        <v>1964285.7142857141</v>
      </c>
      <c r="C11" s="76">
        <f t="shared" si="2"/>
        <v>392857.14285714284</v>
      </c>
      <c r="D11" s="77">
        <f t="shared" si="3"/>
        <v>1571428.5714285714</v>
      </c>
      <c r="E11" s="77">
        <f t="shared" si="4"/>
        <v>10338.921986009242</v>
      </c>
      <c r="F11" s="77">
        <f t="shared" si="5"/>
        <v>2046.1309523809523</v>
      </c>
      <c r="G11" s="77">
        <f t="shared" si="6"/>
        <v>818.45238095238085</v>
      </c>
      <c r="H11" s="77">
        <f t="shared" si="7"/>
        <v>13203.505319342576</v>
      </c>
      <c r="I11" s="77">
        <f t="shared" si="8"/>
        <v>26407.010638685151</v>
      </c>
      <c r="J11" s="77">
        <f t="shared" si="9"/>
        <v>316884.1276642218</v>
      </c>
      <c r="L11" s="5">
        <f>IF(175&lt;$M$21,175,0)</f>
        <v>175</v>
      </c>
      <c r="M11" s="77">
        <f t="shared" si="10"/>
        <v>1571428.5714285714</v>
      </c>
      <c r="N11" s="258">
        <f t="shared" si="11"/>
        <v>34.999999999999993</v>
      </c>
      <c r="O11" s="258">
        <f t="shared" si="12"/>
        <v>140</v>
      </c>
      <c r="Q11" s="257"/>
      <c r="R11" s="281" t="s">
        <v>59</v>
      </c>
      <c r="S11" s="282"/>
    </row>
    <row r="12" spans="1:24" x14ac:dyDescent="0.2">
      <c r="A12" s="92">
        <f t="shared" si="0"/>
        <v>6.8900000000000003E-2</v>
      </c>
      <c r="B12" s="37">
        <f t="shared" si="1"/>
        <v>1718750</v>
      </c>
      <c r="C12" s="37">
        <f t="shared" si="2"/>
        <v>343750</v>
      </c>
      <c r="D12" s="10">
        <f t="shared" si="3"/>
        <v>1375000</v>
      </c>
      <c r="E12" s="10">
        <f t="shared" si="4"/>
        <v>9046.5567377580865</v>
      </c>
      <c r="F12" s="10">
        <f t="shared" si="5"/>
        <v>1790.3645833333333</v>
      </c>
      <c r="G12" s="10">
        <f t="shared" si="6"/>
        <v>716.14583333333337</v>
      </c>
      <c r="H12" s="10">
        <f t="shared" si="7"/>
        <v>11553.067154424754</v>
      </c>
      <c r="I12" s="10">
        <f t="shared" si="8"/>
        <v>23106.134308849509</v>
      </c>
      <c r="J12" s="10">
        <f t="shared" si="9"/>
        <v>277273.61170619412</v>
      </c>
      <c r="L12" s="6">
        <f>IF(200&lt;$M$21,200,0)</f>
        <v>200</v>
      </c>
      <c r="M12" s="10">
        <f t="shared" si="10"/>
        <v>1375000</v>
      </c>
      <c r="N12" s="118">
        <f t="shared" si="11"/>
        <v>39.999999999999993</v>
      </c>
      <c r="O12" s="118">
        <f t="shared" si="12"/>
        <v>160</v>
      </c>
      <c r="Q12" s="149" t="s">
        <v>117</v>
      </c>
      <c r="R12" s="150" t="s">
        <v>63</v>
      </c>
      <c r="S12" s="96" t="s">
        <v>64</v>
      </c>
    </row>
    <row r="13" spans="1:24" x14ac:dyDescent="0.2">
      <c r="A13" s="93">
        <f t="shared" si="0"/>
        <v>6.8900000000000003E-2</v>
      </c>
      <c r="B13" s="76">
        <f t="shared" si="1"/>
        <v>1527777.7777777778</v>
      </c>
      <c r="C13" s="76">
        <f t="shared" si="2"/>
        <v>305555.55555555556</v>
      </c>
      <c r="D13" s="77">
        <f t="shared" si="3"/>
        <v>1222222.2222222222</v>
      </c>
      <c r="E13" s="77">
        <f t="shared" si="4"/>
        <v>8041.3837668960768</v>
      </c>
      <c r="F13" s="77">
        <f t="shared" si="5"/>
        <v>1591.4351851851852</v>
      </c>
      <c r="G13" s="77">
        <f t="shared" si="6"/>
        <v>636.57407407407402</v>
      </c>
      <c r="H13" s="77">
        <f t="shared" si="7"/>
        <v>10269.393026155338</v>
      </c>
      <c r="I13" s="77">
        <f t="shared" si="8"/>
        <v>20538.786052310676</v>
      </c>
      <c r="J13" s="77">
        <f t="shared" si="9"/>
        <v>246465.43262772809</v>
      </c>
      <c r="L13" s="5">
        <f>IF(225&lt;$M$21,225,0)</f>
        <v>225</v>
      </c>
      <c r="M13" s="77">
        <f t="shared" si="10"/>
        <v>1222222.2222222222</v>
      </c>
      <c r="N13" s="258">
        <f t="shared" si="11"/>
        <v>44.999999999999993</v>
      </c>
      <c r="O13" s="258">
        <f t="shared" si="12"/>
        <v>180</v>
      </c>
      <c r="Q13" s="70">
        <f>M5*S15</f>
        <v>990000</v>
      </c>
      <c r="R13" s="10">
        <f>IF(S15&lt;=S6, Q13*R14,R4)</f>
        <v>176000</v>
      </c>
      <c r="S13" s="147">
        <f>IF(S15&lt;=S6,Q13*S14,S4+$M5*(S15-S$6)*T5)</f>
        <v>814000</v>
      </c>
      <c r="T13" s="163" t="s">
        <v>85</v>
      </c>
      <c r="U13" s="231">
        <f>IF(R13&gt;0,S13/R13,NA())</f>
        <v>4.625</v>
      </c>
    </row>
    <row r="14" spans="1:24" x14ac:dyDescent="0.2">
      <c r="A14" s="92">
        <f t="shared" si="0"/>
        <v>6.8900000000000003E-2</v>
      </c>
      <c r="B14" s="37">
        <f t="shared" si="1"/>
        <v>1375000</v>
      </c>
      <c r="C14" s="37">
        <f t="shared" si="2"/>
        <v>275000</v>
      </c>
      <c r="D14" s="10">
        <f t="shared" si="3"/>
        <v>1100000</v>
      </c>
      <c r="E14" s="10">
        <f t="shared" si="4"/>
        <v>7237.245390206469</v>
      </c>
      <c r="F14" s="10">
        <f t="shared" si="5"/>
        <v>1432.2916666666667</v>
      </c>
      <c r="G14" s="10">
        <f t="shared" si="6"/>
        <v>572.91666666666663</v>
      </c>
      <c r="H14" s="10">
        <f t="shared" si="7"/>
        <v>9242.453723539802</v>
      </c>
      <c r="I14" s="10">
        <f t="shared" si="8"/>
        <v>18484.907447079604</v>
      </c>
      <c r="J14" s="10">
        <f t="shared" si="9"/>
        <v>221818.88936495525</v>
      </c>
      <c r="L14" s="6">
        <f>IF(250&lt;$M$21,250,0)</f>
        <v>250</v>
      </c>
      <c r="M14" s="10">
        <f t="shared" si="10"/>
        <v>1100000</v>
      </c>
      <c r="N14" s="118">
        <f t="shared" si="11"/>
        <v>49.999999999999986</v>
      </c>
      <c r="O14" s="118">
        <f t="shared" si="12"/>
        <v>200</v>
      </c>
      <c r="Q14" s="74">
        <v>1</v>
      </c>
      <c r="R14" s="73" t="str">
        <f>IF(S15&lt;=S6,N17," capped")</f>
        <v xml:space="preserve"> capped</v>
      </c>
      <c r="S14" s="122">
        <f>IF(S15&lt;=S6,O17, 100%)</f>
        <v>1</v>
      </c>
      <c r="T14" s="17"/>
      <c r="U14" s="163"/>
    </row>
    <row r="15" spans="1:24" x14ac:dyDescent="0.2">
      <c r="A15" s="95"/>
      <c r="B15" s="35"/>
      <c r="C15" s="35"/>
      <c r="D15" s="7"/>
      <c r="E15" s="7"/>
      <c r="F15" s="7"/>
      <c r="G15" s="7"/>
      <c r="H15" s="7"/>
      <c r="I15" s="7"/>
      <c r="J15" s="7"/>
      <c r="M15" s="7"/>
      <c r="Q15" s="123"/>
      <c r="R15" s="156" t="s">
        <v>77</v>
      </c>
      <c r="S15" s="260">
        <v>36</v>
      </c>
      <c r="T15" s="165" t="s">
        <v>160</v>
      </c>
      <c r="U15" s="166">
        <f>IF(S15/S6&lt;=100%, S15/S6,100%)</f>
        <v>1</v>
      </c>
    </row>
    <row r="16" spans="1:24" x14ac:dyDescent="0.2">
      <c r="A16" s="128"/>
      <c r="B16" s="128"/>
      <c r="C16" s="128"/>
      <c r="D16" s="128"/>
      <c r="E16" s="128"/>
      <c r="F16" s="128"/>
      <c r="G16" s="128"/>
      <c r="H16" s="128"/>
      <c r="I16" s="128"/>
      <c r="J16" s="128"/>
      <c r="K16" s="129"/>
      <c r="L16" s="133"/>
      <c r="M16" s="270"/>
      <c r="N16" s="271" t="s">
        <v>63</v>
      </c>
      <c r="O16" s="272" t="s">
        <v>64</v>
      </c>
      <c r="P16" s="128"/>
      <c r="Q16" s="78"/>
      <c r="R16" s="124" t="s">
        <v>78</v>
      </c>
      <c r="S16" s="155">
        <f>S15/12</f>
        <v>3</v>
      </c>
    </row>
    <row r="17" spans="1:28" x14ac:dyDescent="0.2">
      <c r="A17" s="128"/>
      <c r="B17" s="128"/>
      <c r="C17" s="128"/>
      <c r="D17" s="128"/>
      <c r="E17" s="128"/>
      <c r="F17" s="128"/>
      <c r="G17" s="128"/>
      <c r="H17" s="128"/>
      <c r="I17" s="128"/>
      <c r="J17" s="128"/>
      <c r="K17" s="129"/>
      <c r="L17" s="133"/>
      <c r="M17" s="273" t="s">
        <v>228</v>
      </c>
      <c r="N17" s="274">
        <f>1-O17</f>
        <v>0.19999999999999996</v>
      </c>
      <c r="O17" s="275">
        <v>0.8</v>
      </c>
      <c r="P17" s="128"/>
      <c r="Q17" s="5"/>
      <c r="R17" s="5"/>
      <c r="S17" s="6" t="s">
        <v>162</v>
      </c>
    </row>
    <row r="18" spans="1:28" x14ac:dyDescent="0.2">
      <c r="A18" s="128"/>
      <c r="B18" s="128"/>
      <c r="C18" s="128"/>
      <c r="D18" s="128"/>
      <c r="E18" s="128"/>
      <c r="F18" s="128"/>
      <c r="G18" s="128"/>
      <c r="H18" s="128"/>
      <c r="I18" s="128"/>
      <c r="J18" s="128"/>
      <c r="K18" s="129"/>
      <c r="L18" s="133"/>
      <c r="M18" s="133"/>
      <c r="N18" s="138"/>
      <c r="O18" s="128"/>
      <c r="P18" s="163"/>
      <c r="Q18" s="163"/>
      <c r="R18" s="164"/>
      <c r="S18" s="164"/>
      <c r="T18" s="164"/>
      <c r="U18" s="164"/>
      <c r="V18" s="164"/>
      <c r="W18" s="164"/>
    </row>
    <row r="19" spans="1:28" x14ac:dyDescent="0.2">
      <c r="A19" s="23" t="s">
        <v>54</v>
      </c>
      <c r="B19" s="23"/>
      <c r="C19" s="23"/>
      <c r="D19" s="23"/>
      <c r="E19" s="24"/>
      <c r="F19" s="24"/>
      <c r="G19" s="24"/>
      <c r="H19" s="24"/>
      <c r="I19" s="24" t="s">
        <v>55</v>
      </c>
      <c r="J19" s="24"/>
      <c r="L19" s="60" t="s">
        <v>225</v>
      </c>
      <c r="M19" s="61">
        <f>$L$23</f>
        <v>1000000</v>
      </c>
      <c r="N19" s="24"/>
      <c r="O19" s="47" t="s">
        <v>57</v>
      </c>
      <c r="P19" s="259"/>
      <c r="Q19" s="24"/>
      <c r="R19" s="24"/>
      <c r="S19" s="24"/>
      <c r="T19" s="24"/>
      <c r="U19" s="24"/>
    </row>
    <row r="20" spans="1:28" ht="17" thickBot="1" x14ac:dyDescent="0.25">
      <c r="A20" s="6"/>
      <c r="B20" s="6"/>
      <c r="C20" s="6"/>
      <c r="D20" s="6" t="s">
        <v>60</v>
      </c>
      <c r="E20" s="6"/>
      <c r="F20" s="63">
        <v>1.2500000000000001E-2</v>
      </c>
      <c r="G20" s="63">
        <f>G4</f>
        <v>5.0000000000000001E-3</v>
      </c>
      <c r="H20" s="64"/>
      <c r="I20" s="65">
        <v>0.5</v>
      </c>
      <c r="J20" s="64" t="s">
        <v>61</v>
      </c>
      <c r="L20" s="6"/>
      <c r="M20" s="6"/>
      <c r="N20" s="6" t="s">
        <v>63</v>
      </c>
      <c r="O20" s="6" t="s">
        <v>64</v>
      </c>
      <c r="Q20" s="6"/>
      <c r="R20" s="6"/>
      <c r="S20" s="6"/>
      <c r="T20" s="6"/>
      <c r="U20" s="6"/>
    </row>
    <row r="21" spans="1:28" s="129" customFormat="1" ht="17" thickBot="1" x14ac:dyDescent="0.25">
      <c r="A21" s="91">
        <v>6.8900000000000003E-2</v>
      </c>
      <c r="B21" s="6"/>
      <c r="C21" s="67">
        <v>0.2</v>
      </c>
      <c r="D21" s="68">
        <f>1-C21</f>
        <v>0.8</v>
      </c>
      <c r="E21" s="6" t="s">
        <v>65</v>
      </c>
      <c r="F21" s="6" t="s">
        <v>66</v>
      </c>
      <c r="G21" s="6" t="s">
        <v>67</v>
      </c>
      <c r="H21" s="69" t="s">
        <v>68</v>
      </c>
      <c r="I21" s="6" t="s">
        <v>69</v>
      </c>
      <c r="J21" s="64" t="s">
        <v>69</v>
      </c>
      <c r="K21"/>
      <c r="L21" s="159" t="s">
        <v>76</v>
      </c>
      <c r="M21" s="162">
        <v>275</v>
      </c>
      <c r="N21" s="160">
        <f>M21*N22</f>
        <v>54.999999999999986</v>
      </c>
      <c r="O21" s="161">
        <f>M21*O22</f>
        <v>220</v>
      </c>
      <c r="P21" s="5"/>
      <c r="Q21" s="6" t="s">
        <v>86</v>
      </c>
      <c r="R21" s="6"/>
      <c r="S21" s="6" t="s">
        <v>62</v>
      </c>
      <c r="T21" s="6" t="s">
        <v>63</v>
      </c>
      <c r="U21" s="6" t="s">
        <v>64</v>
      </c>
      <c r="Y21"/>
      <c r="Z21"/>
      <c r="AA21"/>
      <c r="AB21"/>
    </row>
    <row r="22" spans="1:28" x14ac:dyDescent="0.2">
      <c r="A22" s="92" t="s">
        <v>70</v>
      </c>
      <c r="B22" s="6" t="s">
        <v>71</v>
      </c>
      <c r="C22" s="6" t="s">
        <v>72</v>
      </c>
      <c r="D22" s="6" t="s">
        <v>73</v>
      </c>
      <c r="E22" s="6" t="s">
        <v>74</v>
      </c>
      <c r="F22" s="6" t="s">
        <v>74</v>
      </c>
      <c r="G22" s="71" t="s">
        <v>74</v>
      </c>
      <c r="H22" s="72" t="s">
        <v>74</v>
      </c>
      <c r="I22" s="71" t="s">
        <v>75</v>
      </c>
      <c r="J22" s="64" t="s">
        <v>75</v>
      </c>
      <c r="L22" s="6" t="s">
        <v>73</v>
      </c>
      <c r="M22" s="6" t="s">
        <v>62</v>
      </c>
      <c r="N22" s="73">
        <f>N17</f>
        <v>0.19999999999999996</v>
      </c>
      <c r="O22" s="73">
        <f>O17</f>
        <v>0.8</v>
      </c>
      <c r="P22" s="167"/>
      <c r="Q22" s="73" t="s">
        <v>77</v>
      </c>
      <c r="R22" s="73" t="s">
        <v>87</v>
      </c>
      <c r="S22" s="73" t="s">
        <v>88</v>
      </c>
      <c r="T22" s="73">
        <f>N17</f>
        <v>0.19999999999999996</v>
      </c>
      <c r="U22" s="73">
        <f>O17</f>
        <v>0.8</v>
      </c>
    </row>
    <row r="23" spans="1:28" x14ac:dyDescent="0.2">
      <c r="A23" s="94">
        <f t="shared" ref="A23:A32" si="15">$A$21</f>
        <v>6.8900000000000003E-2</v>
      </c>
      <c r="B23" s="52">
        <f t="shared" ref="B23:B32" si="16">D23/$D$5</f>
        <v>1250000</v>
      </c>
      <c r="C23" s="52">
        <f t="shared" ref="C23:C32" si="17">$C$5*B23</f>
        <v>250000</v>
      </c>
      <c r="D23" s="55">
        <f t="shared" ref="D23:D32" si="18">L23</f>
        <v>1000000</v>
      </c>
      <c r="E23" s="55">
        <f t="shared" ref="E23:E32" si="19">-PMT(A23/12,360,D23)</f>
        <v>6579.3139910967902</v>
      </c>
      <c r="F23" s="55">
        <f t="shared" ref="F23:F32" si="20">$F$4*B23/12</f>
        <v>1302.0833333333333</v>
      </c>
      <c r="G23" s="79">
        <f t="shared" ref="G23:G32" si="21">$G$20*B23/12</f>
        <v>520.83333333333337</v>
      </c>
      <c r="H23" s="79">
        <f t="shared" ref="H23:H32" si="22">SUM(E23:G23)</f>
        <v>8402.2306577634572</v>
      </c>
      <c r="I23" s="55">
        <f t="shared" ref="I23:I32" si="23">H23/$I$20</f>
        <v>16804.461315526914</v>
      </c>
      <c r="J23" s="79">
        <f t="shared" ref="J23:J32" si="24">I23*12</f>
        <v>201653.53578632296</v>
      </c>
      <c r="L23" s="55">
        <f>O2</f>
        <v>1000000</v>
      </c>
      <c r="M23" s="79">
        <f>$M$21*L23/10000+'Comp plan'!$B$3</f>
        <v>27500</v>
      </c>
      <c r="N23" s="55">
        <f t="shared" ref="N23:N32" si="25">M23-O23</f>
        <v>5500</v>
      </c>
      <c r="O23" s="55">
        <f t="shared" ref="O23:O32" si="26">$O$22*M23</f>
        <v>22000</v>
      </c>
      <c r="P23" s="55"/>
      <c r="Q23" s="56">
        <f>$R$2/N23</f>
        <v>32</v>
      </c>
      <c r="R23" s="80">
        <f t="shared" ref="R23:R32" si="27">Q23/12</f>
        <v>2.6666666666666665</v>
      </c>
      <c r="S23" s="7">
        <f t="shared" ref="S23:S32" si="28">$M$23-M23</f>
        <v>0</v>
      </c>
      <c r="T23" s="7">
        <f t="shared" ref="T23:T31" si="29">S23*T$22</f>
        <v>0</v>
      </c>
      <c r="U23" s="7">
        <f t="shared" ref="U23:U32" si="30">$S23*U$22</f>
        <v>0</v>
      </c>
    </row>
    <row r="24" spans="1:28" x14ac:dyDescent="0.2">
      <c r="A24" s="92">
        <f t="shared" si="15"/>
        <v>6.8900000000000003E-2</v>
      </c>
      <c r="B24" s="37">
        <f t="shared" ref="B24:B25" si="31">D24/$D$5</f>
        <v>1125000</v>
      </c>
      <c r="C24" s="37">
        <f t="shared" ref="C24:C25" si="32">$C$5*B24</f>
        <v>225000</v>
      </c>
      <c r="D24" s="10">
        <f t="shared" ref="D24:D25" si="33">L24</f>
        <v>900000</v>
      </c>
      <c r="E24" s="10">
        <f t="shared" si="19"/>
        <v>5921.3825919871106</v>
      </c>
      <c r="F24" s="10">
        <f t="shared" ref="F24:F25" si="34">$F$4*B24/12</f>
        <v>1171.875</v>
      </c>
      <c r="G24" s="10">
        <f t="shared" ref="G24:G25" si="35">$G$20*B24/12</f>
        <v>468.75</v>
      </c>
      <c r="H24" s="10">
        <f t="shared" ref="H24:H25" si="36">SUM(E24:G24)</f>
        <v>7562.0075919871106</v>
      </c>
      <c r="I24" s="10">
        <f t="shared" ref="I24:I25" si="37">H24/$I$20</f>
        <v>15124.015183974221</v>
      </c>
      <c r="J24" s="10">
        <f t="shared" si="24"/>
        <v>181488.18220769067</v>
      </c>
      <c r="L24" s="10">
        <v>900000</v>
      </c>
      <c r="M24" s="10">
        <f>$M$21*L24/10000+'Comp plan'!$B$3</f>
        <v>24750</v>
      </c>
      <c r="N24" s="10">
        <f t="shared" si="25"/>
        <v>4950</v>
      </c>
      <c r="O24" s="10">
        <f t="shared" ref="O24:O25" si="38">$O$22*M24</f>
        <v>19800</v>
      </c>
      <c r="P24" s="7"/>
      <c r="Q24" s="118">
        <f t="shared" ref="Q24:Q25" si="39">$R$2/N24</f>
        <v>35.555555555555557</v>
      </c>
      <c r="R24" s="117">
        <f t="shared" ref="R24:R25" si="40">Q24/12</f>
        <v>2.9629629629629632</v>
      </c>
      <c r="S24" s="10">
        <f t="shared" si="28"/>
        <v>2750</v>
      </c>
      <c r="T24" s="10">
        <f t="shared" ref="T24:T25" si="41">S24*T$22</f>
        <v>549.99999999999989</v>
      </c>
      <c r="U24" s="10">
        <f t="shared" si="30"/>
        <v>2200</v>
      </c>
    </row>
    <row r="25" spans="1:28" x14ac:dyDescent="0.2">
      <c r="A25" s="95">
        <f t="shared" si="15"/>
        <v>6.8900000000000003E-2</v>
      </c>
      <c r="B25" s="35">
        <f t="shared" si="31"/>
        <v>1000000</v>
      </c>
      <c r="C25" s="35">
        <f t="shared" si="32"/>
        <v>200000</v>
      </c>
      <c r="D25" s="7">
        <f t="shared" si="33"/>
        <v>800000</v>
      </c>
      <c r="E25" s="7">
        <f t="shared" si="19"/>
        <v>5263.4511928774318</v>
      </c>
      <c r="F25" s="7">
        <f t="shared" si="34"/>
        <v>1041.6666666666667</v>
      </c>
      <c r="G25" s="7">
        <f t="shared" si="35"/>
        <v>416.66666666666669</v>
      </c>
      <c r="H25" s="7">
        <f t="shared" si="36"/>
        <v>6721.7845262107658</v>
      </c>
      <c r="I25" s="7">
        <f t="shared" si="37"/>
        <v>13443.569052421532</v>
      </c>
      <c r="J25" s="7">
        <f t="shared" si="24"/>
        <v>161322.82862905838</v>
      </c>
      <c r="L25" s="7">
        <v>800000</v>
      </c>
      <c r="M25" s="7">
        <f>$M$21*L25/10000+'Comp plan'!$B$3</f>
        <v>22000</v>
      </c>
      <c r="N25" s="7">
        <f t="shared" si="25"/>
        <v>4400</v>
      </c>
      <c r="O25" s="7">
        <f t="shared" si="38"/>
        <v>17600</v>
      </c>
      <c r="P25" s="7"/>
      <c r="Q25" s="258">
        <f t="shared" si="39"/>
        <v>40</v>
      </c>
      <c r="R25" s="81">
        <f t="shared" si="40"/>
        <v>3.3333333333333335</v>
      </c>
      <c r="S25" s="7">
        <f t="shared" si="28"/>
        <v>5500</v>
      </c>
      <c r="T25" s="7">
        <f t="shared" si="41"/>
        <v>1099.9999999999998</v>
      </c>
      <c r="U25" s="7">
        <f t="shared" si="30"/>
        <v>4400</v>
      </c>
    </row>
    <row r="26" spans="1:28" x14ac:dyDescent="0.2">
      <c r="A26" s="92">
        <f t="shared" si="15"/>
        <v>6.8900000000000003E-2</v>
      </c>
      <c r="B26" s="37">
        <f t="shared" si="16"/>
        <v>875000</v>
      </c>
      <c r="C26" s="37">
        <f t="shared" si="17"/>
        <v>175000</v>
      </c>
      <c r="D26" s="10">
        <f t="shared" si="18"/>
        <v>700000</v>
      </c>
      <c r="E26" s="10">
        <f t="shared" ref="E26:E27" si="42">-PMT(A26/12,360,D26)</f>
        <v>4605.5197937677531</v>
      </c>
      <c r="F26" s="10">
        <f t="shared" si="20"/>
        <v>911.45833333333337</v>
      </c>
      <c r="G26" s="10">
        <f t="shared" si="21"/>
        <v>364.58333333333331</v>
      </c>
      <c r="H26" s="10">
        <f t="shared" ref="H26:H27" si="43">SUM(E26:G26)</f>
        <v>5881.5614604344191</v>
      </c>
      <c r="I26" s="10">
        <f t="shared" si="23"/>
        <v>11763.122920868838</v>
      </c>
      <c r="J26" s="10">
        <f t="shared" ref="J26:J27" si="44">I26*12</f>
        <v>141157.47505042606</v>
      </c>
      <c r="L26" s="10">
        <v>700000</v>
      </c>
      <c r="M26" s="10">
        <f>$M$21*L26/10000+'Comp plan'!$B$3</f>
        <v>19250</v>
      </c>
      <c r="N26" s="10">
        <f t="shared" ref="N26:N27" si="45">M26-O26</f>
        <v>3850</v>
      </c>
      <c r="O26" s="10">
        <f t="shared" si="26"/>
        <v>15400</v>
      </c>
      <c r="P26" s="7"/>
      <c r="Q26" s="118">
        <f t="shared" ref="Q26:Q32" si="46">$R$2/N26</f>
        <v>45.714285714285715</v>
      </c>
      <c r="R26" s="117">
        <f t="shared" si="27"/>
        <v>3.8095238095238098</v>
      </c>
      <c r="S26" s="10">
        <f t="shared" si="28"/>
        <v>8250</v>
      </c>
      <c r="T26" s="10">
        <f t="shared" si="29"/>
        <v>1649.9999999999995</v>
      </c>
      <c r="U26" s="10">
        <f t="shared" si="30"/>
        <v>6600</v>
      </c>
    </row>
    <row r="27" spans="1:28" ht="16" customHeight="1" x14ac:dyDescent="0.2">
      <c r="A27" s="95">
        <f t="shared" si="15"/>
        <v>6.8900000000000003E-2</v>
      </c>
      <c r="B27" s="35">
        <f t="shared" si="16"/>
        <v>750000</v>
      </c>
      <c r="C27" s="35">
        <f t="shared" si="17"/>
        <v>150000</v>
      </c>
      <c r="D27" s="7">
        <f t="shared" si="18"/>
        <v>600000</v>
      </c>
      <c r="E27" s="7">
        <f t="shared" si="42"/>
        <v>3947.5883946580739</v>
      </c>
      <c r="F27" s="7">
        <f t="shared" si="20"/>
        <v>781.25</v>
      </c>
      <c r="G27" s="7">
        <f t="shared" si="21"/>
        <v>312.5</v>
      </c>
      <c r="H27" s="7">
        <f t="shared" si="43"/>
        <v>5041.3383946580743</v>
      </c>
      <c r="I27" s="7">
        <f t="shared" si="23"/>
        <v>10082.676789316149</v>
      </c>
      <c r="J27" s="7">
        <f t="shared" si="44"/>
        <v>120992.12147179378</v>
      </c>
      <c r="L27" s="7">
        <v>600000</v>
      </c>
      <c r="M27" s="7">
        <f>$M$21*L27/10000+'Comp plan'!$B$3</f>
        <v>16500</v>
      </c>
      <c r="N27" s="7">
        <f t="shared" si="45"/>
        <v>3300</v>
      </c>
      <c r="O27" s="7">
        <f t="shared" si="26"/>
        <v>13200</v>
      </c>
      <c r="P27" s="7"/>
      <c r="Q27" s="42">
        <f t="shared" si="46"/>
        <v>53.333333333333336</v>
      </c>
      <c r="R27" s="81">
        <f t="shared" si="27"/>
        <v>4.4444444444444446</v>
      </c>
      <c r="S27" s="7">
        <f t="shared" si="28"/>
        <v>11000</v>
      </c>
      <c r="T27" s="7">
        <f t="shared" si="29"/>
        <v>2199.9999999999995</v>
      </c>
      <c r="U27" s="7">
        <f t="shared" si="30"/>
        <v>8800</v>
      </c>
    </row>
    <row r="28" spans="1:28" x14ac:dyDescent="0.2">
      <c r="A28" s="92">
        <f t="shared" si="15"/>
        <v>6.8900000000000003E-2</v>
      </c>
      <c r="B28" s="37">
        <f t="shared" si="16"/>
        <v>625000</v>
      </c>
      <c r="C28" s="37">
        <f t="shared" si="17"/>
        <v>125000</v>
      </c>
      <c r="D28" s="10">
        <f t="shared" si="18"/>
        <v>500000</v>
      </c>
      <c r="E28" s="10">
        <f t="shared" si="19"/>
        <v>3289.6569955483951</v>
      </c>
      <c r="F28" s="10">
        <f t="shared" si="20"/>
        <v>651.04166666666663</v>
      </c>
      <c r="G28" s="10">
        <f t="shared" si="21"/>
        <v>260.41666666666669</v>
      </c>
      <c r="H28" s="10">
        <f t="shared" si="22"/>
        <v>4201.1153288817286</v>
      </c>
      <c r="I28" s="10">
        <f t="shared" si="23"/>
        <v>8402.2306577634572</v>
      </c>
      <c r="J28" s="10">
        <f t="shared" si="24"/>
        <v>100826.76789316148</v>
      </c>
      <c r="L28" s="10">
        <v>500000</v>
      </c>
      <c r="M28" s="10">
        <f>$M$21*L28/10000+'Comp plan'!$B$3</f>
        <v>13750</v>
      </c>
      <c r="N28" s="10">
        <f t="shared" si="25"/>
        <v>2750</v>
      </c>
      <c r="O28" s="10">
        <f t="shared" si="26"/>
        <v>11000</v>
      </c>
      <c r="P28" s="7"/>
      <c r="Q28" s="119">
        <f t="shared" si="46"/>
        <v>64</v>
      </c>
      <c r="R28" s="117">
        <f t="shared" si="27"/>
        <v>5.333333333333333</v>
      </c>
      <c r="S28" s="10">
        <f t="shared" si="28"/>
        <v>13750</v>
      </c>
      <c r="T28" s="10">
        <f t="shared" si="29"/>
        <v>2749.9999999999995</v>
      </c>
      <c r="U28" s="10">
        <f t="shared" si="30"/>
        <v>11000</v>
      </c>
    </row>
    <row r="29" spans="1:28" x14ac:dyDescent="0.2">
      <c r="A29" s="95">
        <f t="shared" si="15"/>
        <v>6.8900000000000003E-2</v>
      </c>
      <c r="B29" s="35">
        <f t="shared" si="16"/>
        <v>500000</v>
      </c>
      <c r="C29" s="35">
        <f t="shared" si="17"/>
        <v>100000</v>
      </c>
      <c r="D29" s="7">
        <f t="shared" si="18"/>
        <v>400000</v>
      </c>
      <c r="E29" s="7">
        <f t="shared" si="19"/>
        <v>2631.7255964387159</v>
      </c>
      <c r="F29" s="7">
        <f t="shared" si="20"/>
        <v>520.83333333333337</v>
      </c>
      <c r="G29" s="77">
        <f t="shared" si="21"/>
        <v>208.33333333333334</v>
      </c>
      <c r="H29" s="77">
        <f t="shared" si="22"/>
        <v>3360.8922631053829</v>
      </c>
      <c r="I29" s="7">
        <f t="shared" si="23"/>
        <v>6721.7845262107658</v>
      </c>
      <c r="J29" s="77">
        <f t="shared" si="24"/>
        <v>80661.414314529189</v>
      </c>
      <c r="L29" s="77">
        <v>400000</v>
      </c>
      <c r="M29" s="77">
        <f>$M$21*L29/10000+'Comp plan'!$B$3</f>
        <v>11000</v>
      </c>
      <c r="N29" s="77">
        <f t="shared" si="25"/>
        <v>2200</v>
      </c>
      <c r="O29" s="77">
        <f t="shared" si="26"/>
        <v>8800</v>
      </c>
      <c r="P29" s="7"/>
      <c r="Q29" s="42">
        <f t="shared" si="46"/>
        <v>80</v>
      </c>
      <c r="R29" s="81">
        <f t="shared" si="27"/>
        <v>6.666666666666667</v>
      </c>
      <c r="S29" s="7">
        <f t="shared" si="28"/>
        <v>16500</v>
      </c>
      <c r="T29" s="7">
        <f t="shared" si="29"/>
        <v>3299.9999999999991</v>
      </c>
      <c r="U29" s="7">
        <f t="shared" si="30"/>
        <v>13200</v>
      </c>
    </row>
    <row r="30" spans="1:28" x14ac:dyDescent="0.2">
      <c r="A30" s="92">
        <f t="shared" si="15"/>
        <v>6.8900000000000003E-2</v>
      </c>
      <c r="B30" s="37">
        <f t="shared" si="16"/>
        <v>375000</v>
      </c>
      <c r="C30" s="37">
        <f t="shared" si="17"/>
        <v>75000</v>
      </c>
      <c r="D30" s="10">
        <f t="shared" si="18"/>
        <v>300000</v>
      </c>
      <c r="E30" s="10">
        <f t="shared" si="19"/>
        <v>1973.7941973290369</v>
      </c>
      <c r="F30" s="10">
        <f t="shared" si="20"/>
        <v>390.625</v>
      </c>
      <c r="G30" s="10">
        <f t="shared" si="21"/>
        <v>156.25</v>
      </c>
      <c r="H30" s="10">
        <f t="shared" si="22"/>
        <v>2520.6691973290372</v>
      </c>
      <c r="I30" s="10">
        <f t="shared" si="23"/>
        <v>5041.3383946580743</v>
      </c>
      <c r="J30" s="10">
        <f t="shared" si="24"/>
        <v>60496.060735896892</v>
      </c>
      <c r="L30" s="10">
        <v>300000</v>
      </c>
      <c r="M30" s="10">
        <f>$M$21*L30/10000+'Comp plan'!$B$3</f>
        <v>8250</v>
      </c>
      <c r="N30" s="10">
        <f t="shared" si="25"/>
        <v>1650</v>
      </c>
      <c r="O30" s="10">
        <f t="shared" si="26"/>
        <v>6600</v>
      </c>
      <c r="P30" s="7"/>
      <c r="Q30" s="119">
        <f t="shared" si="46"/>
        <v>106.66666666666667</v>
      </c>
      <c r="R30" s="117">
        <f t="shared" si="27"/>
        <v>8.8888888888888893</v>
      </c>
      <c r="S30" s="10">
        <f t="shared" si="28"/>
        <v>19250</v>
      </c>
      <c r="T30" s="10">
        <f t="shared" si="29"/>
        <v>3849.9999999999991</v>
      </c>
      <c r="U30" s="10">
        <f t="shared" si="30"/>
        <v>15400</v>
      </c>
    </row>
    <row r="31" spans="1:28" x14ac:dyDescent="0.2">
      <c r="A31" s="95">
        <f t="shared" si="15"/>
        <v>6.8900000000000003E-2</v>
      </c>
      <c r="B31" s="35">
        <f t="shared" si="16"/>
        <v>250000</v>
      </c>
      <c r="C31" s="35">
        <f t="shared" si="17"/>
        <v>50000</v>
      </c>
      <c r="D31" s="7">
        <f t="shared" si="18"/>
        <v>200000</v>
      </c>
      <c r="E31" s="7">
        <f t="shared" si="19"/>
        <v>1315.862798219358</v>
      </c>
      <c r="F31" s="7">
        <f t="shared" si="20"/>
        <v>260.41666666666669</v>
      </c>
      <c r="G31" s="77">
        <f t="shared" si="21"/>
        <v>104.16666666666667</v>
      </c>
      <c r="H31" s="77">
        <f t="shared" si="22"/>
        <v>1680.4461315526914</v>
      </c>
      <c r="I31" s="7">
        <f t="shared" si="23"/>
        <v>3360.8922631053829</v>
      </c>
      <c r="J31" s="77">
        <f t="shared" si="24"/>
        <v>40330.707157264595</v>
      </c>
      <c r="L31" s="77">
        <v>200000</v>
      </c>
      <c r="M31" s="77">
        <f>$M$21*L31/10000+'Comp plan'!$B$3</f>
        <v>5500</v>
      </c>
      <c r="N31" s="77">
        <f t="shared" si="25"/>
        <v>1100</v>
      </c>
      <c r="O31" s="77">
        <f t="shared" si="26"/>
        <v>4400</v>
      </c>
      <c r="P31" s="7"/>
      <c r="Q31" s="42">
        <f t="shared" si="46"/>
        <v>160</v>
      </c>
      <c r="R31" s="81">
        <f t="shared" si="27"/>
        <v>13.333333333333334</v>
      </c>
      <c r="S31" s="7">
        <f t="shared" si="28"/>
        <v>22000</v>
      </c>
      <c r="T31" s="7">
        <f t="shared" si="29"/>
        <v>4399.9999999999991</v>
      </c>
      <c r="U31" s="7">
        <f t="shared" si="30"/>
        <v>17600</v>
      </c>
    </row>
    <row r="32" spans="1:28" x14ac:dyDescent="0.2">
      <c r="A32" s="92">
        <f t="shared" si="15"/>
        <v>6.8900000000000003E-2</v>
      </c>
      <c r="B32" s="37">
        <f t="shared" si="16"/>
        <v>125000</v>
      </c>
      <c r="C32" s="37">
        <f t="shared" si="17"/>
        <v>25000</v>
      </c>
      <c r="D32" s="10">
        <f t="shared" si="18"/>
        <v>100000</v>
      </c>
      <c r="E32" s="10">
        <f t="shared" si="19"/>
        <v>657.93139910967898</v>
      </c>
      <c r="F32" s="10">
        <f t="shared" si="20"/>
        <v>130.20833333333334</v>
      </c>
      <c r="G32" s="10">
        <f t="shared" si="21"/>
        <v>52.083333333333336</v>
      </c>
      <c r="H32" s="10">
        <f t="shared" si="22"/>
        <v>840.22306577634572</v>
      </c>
      <c r="I32" s="10">
        <f t="shared" si="23"/>
        <v>1680.4461315526914</v>
      </c>
      <c r="J32" s="10">
        <f t="shared" si="24"/>
        <v>20165.353578632297</v>
      </c>
      <c r="L32" s="10">
        <v>100000</v>
      </c>
      <c r="M32" s="10">
        <v>2750</v>
      </c>
      <c r="N32" s="10">
        <f t="shared" si="25"/>
        <v>550</v>
      </c>
      <c r="O32" s="10">
        <f t="shared" si="26"/>
        <v>2200</v>
      </c>
      <c r="P32" s="7"/>
      <c r="Q32" s="119">
        <f t="shared" si="46"/>
        <v>320</v>
      </c>
      <c r="R32" s="117">
        <f t="shared" si="27"/>
        <v>26.666666666666668</v>
      </c>
      <c r="S32" s="10">
        <f t="shared" si="28"/>
        <v>24750</v>
      </c>
      <c r="T32" s="10">
        <f>$S32*T$22</f>
        <v>4949.9999999999991</v>
      </c>
      <c r="U32" s="10">
        <f t="shared" si="30"/>
        <v>19800</v>
      </c>
    </row>
    <row r="36" spans="11:19" x14ac:dyDescent="0.2">
      <c r="K36" s="5"/>
      <c r="Q36" s="5"/>
      <c r="R36" s="5"/>
      <c r="S36" s="5"/>
    </row>
  </sheetData>
  <sheetProtection selectLockedCells="1"/>
  <sortState xmlns:xlrd2="http://schemas.microsoft.com/office/spreadsheetml/2017/richdata2" ref="A10:O16">
    <sortCondition descending="1" ref="M10:M16"/>
  </sortState>
  <mergeCells count="4">
    <mergeCell ref="A2:J2"/>
    <mergeCell ref="L2:N2"/>
    <mergeCell ref="S2:X2"/>
    <mergeCell ref="R11:S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434462-9AAC-044F-B9FD-AB32C265A557}">
  <sheetPr codeName="Sheet13"/>
  <dimension ref="A1:J39"/>
  <sheetViews>
    <sheetView topLeftCell="A4" zoomScale="122" zoomScaleNormal="122" workbookViewId="0">
      <selection activeCell="F27" sqref="F27"/>
    </sheetView>
  </sheetViews>
  <sheetFormatPr baseColWidth="10" defaultColWidth="11" defaultRowHeight="16" x14ac:dyDescent="0.2"/>
  <cols>
    <col min="1" max="1" width="46" bestFit="1" customWidth="1"/>
    <col min="2" max="2" width="14.1640625" bestFit="1" customWidth="1"/>
    <col min="3" max="3" width="18.6640625" bestFit="1" customWidth="1"/>
    <col min="4" max="4" width="15.83203125" bestFit="1" customWidth="1"/>
    <col min="5" max="5" width="11.33203125" bestFit="1" customWidth="1"/>
    <col min="6" max="6" width="13" bestFit="1" customWidth="1"/>
  </cols>
  <sheetData>
    <row r="1" spans="1:5" s="23" customFormat="1" x14ac:dyDescent="0.2">
      <c r="A1" s="47" t="s">
        <v>89</v>
      </c>
      <c r="B1" s="46">
        <f>'Branch example'!S13</f>
        <v>814000</v>
      </c>
      <c r="D1" s="47" t="s">
        <v>163</v>
      </c>
      <c r="E1" s="47">
        <f>'Branch example'!S15</f>
        <v>36</v>
      </c>
    </row>
    <row r="2" spans="1:5" s="50" customFormat="1" x14ac:dyDescent="0.2"/>
    <row r="3" spans="1:5" x14ac:dyDescent="0.2">
      <c r="A3" s="48" t="s">
        <v>90</v>
      </c>
      <c r="B3" s="14"/>
      <c r="C3" s="2"/>
    </row>
    <row r="4" spans="1:5" x14ac:dyDescent="0.2">
      <c r="A4" s="48"/>
      <c r="B4" s="14"/>
      <c r="C4" s="2"/>
    </row>
    <row r="5" spans="1:5" x14ac:dyDescent="0.2">
      <c r="A5" s="48"/>
      <c r="B5" s="14"/>
      <c r="C5" s="2"/>
    </row>
    <row r="6" spans="1:5" x14ac:dyDescent="0.2">
      <c r="A6" s="48"/>
      <c r="B6" s="14"/>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96</v>
      </c>
      <c r="B12" s="49">
        <v>300</v>
      </c>
      <c r="C12" s="2"/>
    </row>
    <row r="13" spans="1:5" x14ac:dyDescent="0.2">
      <c r="A13" s="48" t="s">
        <v>97</v>
      </c>
      <c r="C13" s="2"/>
    </row>
    <row r="14" spans="1:5" x14ac:dyDescent="0.2">
      <c r="A14" s="22" t="s">
        <v>98</v>
      </c>
      <c r="B14" s="14">
        <f>12*197</f>
        <v>2364</v>
      </c>
      <c r="C14" s="2"/>
      <c r="E14" s="8"/>
    </row>
    <row r="15" spans="1:5" x14ac:dyDescent="0.2">
      <c r="A15" s="22" t="s">
        <v>99</v>
      </c>
      <c r="B15" s="14">
        <f>12*600</f>
        <v>7200</v>
      </c>
      <c r="C15" s="2"/>
    </row>
    <row r="16" spans="1:5" x14ac:dyDescent="0.2">
      <c r="A16" s="22" t="s">
        <v>100</v>
      </c>
      <c r="B16" s="14">
        <f>12*600</f>
        <v>7200</v>
      </c>
      <c r="C16" s="2">
        <f>IF(B1&gt;='Branch example'!O5*2, SUM(B8:B16),0)</f>
        <v>20793.88</v>
      </c>
      <c r="D16" s="3"/>
    </row>
    <row r="17" spans="1:10" x14ac:dyDescent="0.2">
      <c r="A17" s="15" t="s">
        <v>101</v>
      </c>
      <c r="B17" s="16">
        <f>SUM(B8:B16)</f>
        <v>20793.88</v>
      </c>
      <c r="C17" s="2"/>
      <c r="D17" s="3"/>
      <c r="E17" s="8"/>
    </row>
    <row r="18" spans="1:10" x14ac:dyDescent="0.2">
      <c r="C18" s="2"/>
    </row>
    <row r="19" spans="1:10" s="1" customFormat="1" x14ac:dyDescent="0.2">
      <c r="A19" s="29" t="s">
        <v>102</v>
      </c>
      <c r="B19" s="28">
        <f>B1-C16</f>
        <v>793206.12</v>
      </c>
      <c r="C19" s="33"/>
      <c r="D19" s="4"/>
    </row>
    <row r="20" spans="1:10" x14ac:dyDescent="0.2">
      <c r="C20" s="2"/>
      <c r="E20" s="8"/>
      <c r="F20" s="21"/>
    </row>
    <row r="21" spans="1:10" s="1" customFormat="1" x14ac:dyDescent="0.2">
      <c r="A21" s="25" t="s">
        <v>103</v>
      </c>
      <c r="B21" s="32">
        <f>B19*E21</f>
        <v>777706.81609646394</v>
      </c>
      <c r="C21" s="33">
        <f>B21</f>
        <v>777706.81609646394</v>
      </c>
      <c r="D21" s="4"/>
      <c r="E21" s="97">
        <v>0.98045992899861134</v>
      </c>
      <c r="F21" s="28">
        <f>B21/12</f>
        <v>64808.901341371995</v>
      </c>
      <c r="G21" s="32" t="s">
        <v>104</v>
      </c>
    </row>
    <row r="22" spans="1:10" x14ac:dyDescent="0.2">
      <c r="A22" t="s">
        <v>105</v>
      </c>
      <c r="B22" s="21"/>
      <c r="C22" s="2"/>
      <c r="D22" s="3"/>
    </row>
    <row r="23" spans="1:10" x14ac:dyDescent="0.2">
      <c r="A23" s="31" t="s">
        <v>106</v>
      </c>
      <c r="B23" s="21">
        <f>IF($B$21&lt;=F23,$B$21*E23,H23)</f>
        <v>10453.200000000001</v>
      </c>
      <c r="C23" s="2"/>
      <c r="D23" s="3"/>
      <c r="E23" s="9">
        <v>6.2E-2</v>
      </c>
      <c r="F23" s="12">
        <v>168600</v>
      </c>
      <c r="G23" t="s">
        <v>107</v>
      </c>
      <c r="H23" s="12">
        <f>E23*F23</f>
        <v>10453.200000000001</v>
      </c>
    </row>
    <row r="24" spans="1:10" x14ac:dyDescent="0.2">
      <c r="A24" s="31" t="s">
        <v>108</v>
      </c>
      <c r="B24" s="21">
        <f>IF($B$21&lt;=F24,$B$21*E24,H24+$I$24*($B$21-$F$24))</f>
        <v>8099.3613448681754</v>
      </c>
      <c r="C24" s="2"/>
      <c r="D24" s="3"/>
      <c r="E24" s="8">
        <v>1.4500000000000001E-2</v>
      </c>
      <c r="F24" s="12">
        <v>200000</v>
      </c>
      <c r="G24" t="s">
        <v>107</v>
      </c>
      <c r="H24" s="12">
        <f>E24*F24</f>
        <v>2900</v>
      </c>
      <c r="I24" s="20">
        <v>8.9999999999999993E-3</v>
      </c>
      <c r="J24" t="s">
        <v>109</v>
      </c>
    </row>
    <row r="25" spans="1:10" x14ac:dyDescent="0.2">
      <c r="A25" s="31" t="s">
        <v>110</v>
      </c>
      <c r="B25" s="21">
        <f>$B$21*E25</f>
        <v>8554.7749770611026</v>
      </c>
      <c r="C25" s="2"/>
      <c r="D25" s="3"/>
      <c r="E25" s="20">
        <v>1.0999999999999999E-2</v>
      </c>
      <c r="F25" t="s">
        <v>109</v>
      </c>
    </row>
    <row r="26" spans="1:10" ht="17" thickBot="1" x14ac:dyDescent="0.25">
      <c r="A26" t="s">
        <v>111</v>
      </c>
      <c r="B26" s="267">
        <f>SUM(B23:B25)</f>
        <v>27107.336321929281</v>
      </c>
      <c r="C26" s="44"/>
      <c r="D26" s="3"/>
    </row>
    <row r="27" spans="1:10" s="1" customFormat="1" ht="17" thickTop="1" x14ac:dyDescent="0.2">
      <c r="A27" s="25" t="s">
        <v>112</v>
      </c>
      <c r="B27" s="32">
        <f>B21-B26</f>
        <v>750599.4797745347</v>
      </c>
      <c r="D27" s="28"/>
      <c r="F27" s="28">
        <f>B27/12</f>
        <v>62549.956647877894</v>
      </c>
      <c r="G27" s="32" t="s">
        <v>104</v>
      </c>
    </row>
    <row r="28" spans="1:10" x14ac:dyDescent="0.2">
      <c r="A28" s="17"/>
      <c r="B28" s="268"/>
      <c r="C28" s="34"/>
      <c r="D28" s="18"/>
    </row>
    <row r="29" spans="1:10" x14ac:dyDescent="0.2">
      <c r="A29" s="17" t="s">
        <v>113</v>
      </c>
      <c r="B29" s="21"/>
      <c r="C29" s="2"/>
    </row>
    <row r="30" spans="1:10" x14ac:dyDescent="0.2">
      <c r="A30" s="31" t="s">
        <v>106</v>
      </c>
      <c r="B30" s="21">
        <f>B23</f>
        <v>10453.200000000001</v>
      </c>
      <c r="C30" s="2"/>
      <c r="D30" s="3"/>
      <c r="E30" s="9">
        <v>6.2E-2</v>
      </c>
      <c r="F30" s="12">
        <v>168600</v>
      </c>
      <c r="G30" t="s">
        <v>107</v>
      </c>
      <c r="H30" s="266">
        <f>E30*F30</f>
        <v>10453.200000000001</v>
      </c>
    </row>
    <row r="31" spans="1:10" x14ac:dyDescent="0.2">
      <c r="A31" s="31" t="s">
        <v>108</v>
      </c>
      <c r="B31" s="21">
        <f>B24</f>
        <v>8099.3613448681754</v>
      </c>
      <c r="C31" s="2"/>
      <c r="D31" s="3"/>
      <c r="E31" s="8">
        <v>1.4500000000000001E-2</v>
      </c>
      <c r="F31" s="12">
        <v>200000</v>
      </c>
      <c r="G31" t="s">
        <v>107</v>
      </c>
      <c r="H31" s="266">
        <f>E31*F31</f>
        <v>2900</v>
      </c>
      <c r="I31" s="20">
        <v>8.9999999999999993E-3</v>
      </c>
      <c r="J31" t="s">
        <v>109</v>
      </c>
    </row>
    <row r="32" spans="1:10" x14ac:dyDescent="0.2">
      <c r="A32" s="31" t="s">
        <v>114</v>
      </c>
      <c r="B32" s="21">
        <f>IF($B$21&lt;=F32,$B$21*E32,H32)</f>
        <v>42</v>
      </c>
      <c r="C32" s="2"/>
      <c r="D32" s="3"/>
      <c r="E32" s="20">
        <v>6.0000000000000001E-3</v>
      </c>
      <c r="F32" s="12">
        <v>7000</v>
      </c>
      <c r="G32" t="s">
        <v>107</v>
      </c>
      <c r="H32" s="266">
        <f>E32*F32</f>
        <v>42</v>
      </c>
    </row>
    <row r="33" spans="1:8" x14ac:dyDescent="0.2">
      <c r="A33" s="31" t="s">
        <v>115</v>
      </c>
      <c r="B33" s="21">
        <f>IF($B$21&lt;=F33,$B$21*E33,H33)</f>
        <v>434</v>
      </c>
      <c r="C33" s="2"/>
      <c r="D33" s="3"/>
      <c r="E33" s="8">
        <v>6.2E-2</v>
      </c>
      <c r="F33" s="12">
        <v>7000</v>
      </c>
      <c r="G33" t="s">
        <v>107</v>
      </c>
      <c r="H33" s="266">
        <f t="shared" ref="H33:H34" si="0">E33*F33</f>
        <v>434</v>
      </c>
    </row>
    <row r="34" spans="1:8" x14ac:dyDescent="0.2">
      <c r="A34" s="31" t="s">
        <v>116</v>
      </c>
      <c r="B34" s="21">
        <f>IF($B$21&lt;=F34,$B$21*E34,H34)</f>
        <v>7</v>
      </c>
      <c r="C34" s="2">
        <f>SUM(B30:B34)</f>
        <v>19035.561344868176</v>
      </c>
      <c r="D34" s="3"/>
      <c r="E34" s="20">
        <v>1E-3</v>
      </c>
      <c r="F34" s="12">
        <v>7000</v>
      </c>
      <c r="G34" t="s">
        <v>107</v>
      </c>
      <c r="H34" s="266">
        <f t="shared" si="0"/>
        <v>7</v>
      </c>
    </row>
    <row r="35" spans="1:8" s="1" customFormat="1" x14ac:dyDescent="0.2">
      <c r="A35" s="25" t="s">
        <v>117</v>
      </c>
      <c r="B35" s="32">
        <f>SUM(B30:B34)</f>
        <v>19035.561344868176</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152">
        <f>B1</f>
        <v>814000</v>
      </c>
      <c r="C39" s="153">
        <f>SUM(C1:C36)</f>
        <v>817536.2574413321</v>
      </c>
      <c r="D39" s="154">
        <f>B39-C39</f>
        <v>-3536.2574413320981</v>
      </c>
      <c r="E39" s="27"/>
    </row>
  </sheetData>
  <sheetProtection selectLockedCells="1"/>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BalanceDebit">
                <anchor moveWithCells="1" sizeWithCells="1">
                  <from>
                    <xdr:col>4</xdr:col>
                    <xdr:colOff>0</xdr:colOff>
                    <xdr:row>37</xdr:row>
                    <xdr:rowOff>12700</xdr:rowOff>
                  </from>
                  <to>
                    <xdr:col>5</xdr:col>
                    <xdr:colOff>673100</xdr:colOff>
                    <xdr:row>38</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71016-1869-BC4D-B59E-619C7387035F}">
  <sheetPr codeName="Sheet10"/>
  <dimension ref="A1:J39"/>
  <sheetViews>
    <sheetView zoomScale="145" zoomScaleNormal="145" workbookViewId="0">
      <selection activeCell="E21" sqref="E21"/>
    </sheetView>
  </sheetViews>
  <sheetFormatPr baseColWidth="10" defaultColWidth="11" defaultRowHeight="16" x14ac:dyDescent="0.2"/>
  <cols>
    <col min="1" max="1" width="46" bestFit="1" customWidth="1"/>
    <col min="2" max="2" width="13" bestFit="1" customWidth="1"/>
    <col min="3" max="3" width="18.6640625" bestFit="1" customWidth="1"/>
    <col min="4" max="4" width="15.83203125" bestFit="1" customWidth="1"/>
    <col min="5" max="5" width="11.33203125" bestFit="1" customWidth="1"/>
    <col min="6" max="6" width="13" bestFit="1" customWidth="1"/>
  </cols>
  <sheetData>
    <row r="1" spans="1:5" s="23" customFormat="1" x14ac:dyDescent="0.2">
      <c r="A1" s="47" t="s">
        <v>89</v>
      </c>
      <c r="B1" s="46">
        <f>'Branch example'!S4</f>
        <v>704000.00000000023</v>
      </c>
      <c r="D1" s="47" t="s">
        <v>163</v>
      </c>
      <c r="E1" s="158">
        <f>'Branch example'!S6</f>
        <v>32.000000000000007</v>
      </c>
    </row>
    <row r="2" spans="1:5" s="50" customFormat="1" x14ac:dyDescent="0.2"/>
    <row r="3" spans="1:5" x14ac:dyDescent="0.2">
      <c r="A3" s="48" t="s">
        <v>90</v>
      </c>
      <c r="B3" s="14"/>
      <c r="C3" s="2"/>
    </row>
    <row r="4" spans="1:5" x14ac:dyDescent="0.2">
      <c r="A4" s="48"/>
      <c r="B4" s="14"/>
      <c r="C4" s="2"/>
    </row>
    <row r="5" spans="1:5" x14ac:dyDescent="0.2">
      <c r="A5" s="48"/>
      <c r="B5" s="14"/>
      <c r="C5" s="2"/>
    </row>
    <row r="6" spans="1:5" x14ac:dyDescent="0.2">
      <c r="A6" s="48"/>
      <c r="B6" s="14"/>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96</v>
      </c>
      <c r="B12" s="49">
        <v>300</v>
      </c>
      <c r="C12" s="2"/>
    </row>
    <row r="13" spans="1:5" x14ac:dyDescent="0.2">
      <c r="A13" s="48" t="s">
        <v>97</v>
      </c>
      <c r="C13" s="2"/>
    </row>
    <row r="14" spans="1:5" x14ac:dyDescent="0.2">
      <c r="A14" s="22" t="s">
        <v>98</v>
      </c>
      <c r="B14" s="14">
        <f>12*197</f>
        <v>2364</v>
      </c>
      <c r="C14" s="2"/>
      <c r="E14" s="8"/>
    </row>
    <row r="15" spans="1:5" x14ac:dyDescent="0.2">
      <c r="A15" s="22" t="s">
        <v>99</v>
      </c>
      <c r="B15" s="14">
        <f>12*600</f>
        <v>7200</v>
      </c>
      <c r="C15" s="2"/>
    </row>
    <row r="16" spans="1:5" x14ac:dyDescent="0.2">
      <c r="A16" s="22" t="s">
        <v>100</v>
      </c>
      <c r="B16" s="14">
        <f>12*600</f>
        <v>7200</v>
      </c>
      <c r="C16" s="2">
        <f>SUM(B8:B16)</f>
        <v>20793.88</v>
      </c>
      <c r="D16" s="3"/>
    </row>
    <row r="17" spans="1:10" x14ac:dyDescent="0.2">
      <c r="A17" s="15" t="s">
        <v>101</v>
      </c>
      <c r="B17" s="16">
        <f>SUM(B8:B16)</f>
        <v>20793.88</v>
      </c>
      <c r="C17" s="2"/>
      <c r="D17" s="3"/>
      <c r="E17" s="8"/>
    </row>
    <row r="18" spans="1:10" x14ac:dyDescent="0.2">
      <c r="C18" s="2"/>
    </row>
    <row r="19" spans="1:10" s="1" customFormat="1" x14ac:dyDescent="0.2">
      <c r="A19" s="29" t="s">
        <v>102</v>
      </c>
      <c r="B19" s="28">
        <f>B1-B17</f>
        <v>683206.12000000023</v>
      </c>
      <c r="C19" s="33"/>
      <c r="D19" s="4"/>
      <c r="E19" s="1">
        <v>112589655139.9424</v>
      </c>
    </row>
    <row r="20" spans="1:10" x14ac:dyDescent="0.2">
      <c r="C20" s="2"/>
      <c r="E20" s="8"/>
      <c r="F20" s="21"/>
    </row>
    <row r="21" spans="1:10" s="1" customFormat="1" x14ac:dyDescent="0.2">
      <c r="A21" s="25" t="s">
        <v>103</v>
      </c>
      <c r="B21" s="28">
        <f>B19*E21</f>
        <v>665183.27056491596</v>
      </c>
      <c r="C21" s="33">
        <f>B21</f>
        <v>665183.27056491596</v>
      </c>
      <c r="D21" s="4"/>
      <c r="E21" s="97">
        <v>0.97362018736734346</v>
      </c>
      <c r="F21" s="28">
        <f>B21/12</f>
        <v>55431.939213742997</v>
      </c>
      <c r="G21" s="32" t="s">
        <v>104</v>
      </c>
    </row>
    <row r="22" spans="1:10" x14ac:dyDescent="0.2">
      <c r="A22" t="s">
        <v>105</v>
      </c>
      <c r="B22" s="3"/>
      <c r="C22" s="2"/>
      <c r="D22" s="3"/>
    </row>
    <row r="23" spans="1:10" x14ac:dyDescent="0.2">
      <c r="A23" s="31" t="s">
        <v>106</v>
      </c>
      <c r="B23" s="3">
        <f>IF($B$21&lt;=F23,$B$21*E23,H23)</f>
        <v>10453.200000000001</v>
      </c>
      <c r="C23" s="2"/>
      <c r="D23" s="3"/>
      <c r="E23" s="9">
        <v>6.2E-2</v>
      </c>
      <c r="F23" s="12">
        <v>168600</v>
      </c>
      <c r="G23" t="s">
        <v>107</v>
      </c>
      <c r="H23" s="12">
        <f>E23*F23</f>
        <v>10453.200000000001</v>
      </c>
    </row>
    <row r="24" spans="1:10" x14ac:dyDescent="0.2">
      <c r="A24" s="31" t="s">
        <v>108</v>
      </c>
      <c r="B24" s="3">
        <f>IF($B$21&lt;=F24,$B$21*E24,H24+$I$24*($B$21-$F$24))</f>
        <v>7086.6494350842431</v>
      </c>
      <c r="C24" s="2"/>
      <c r="D24" s="3"/>
      <c r="E24" s="8">
        <v>1.4500000000000001E-2</v>
      </c>
      <c r="F24" s="12">
        <v>200000</v>
      </c>
      <c r="G24" t="s">
        <v>107</v>
      </c>
      <c r="H24" s="12">
        <f>E24*F24</f>
        <v>2900</v>
      </c>
      <c r="I24" s="20">
        <v>8.9999999999999993E-3</v>
      </c>
      <c r="J24" t="s">
        <v>109</v>
      </c>
    </row>
    <row r="25" spans="1:10" x14ac:dyDescent="0.2">
      <c r="A25" s="31" t="s">
        <v>110</v>
      </c>
      <c r="B25" s="3">
        <f>$B$21*E25</f>
        <v>7317.0159762140747</v>
      </c>
      <c r="C25" s="2"/>
      <c r="D25" s="3"/>
      <c r="E25" s="20">
        <v>1.0999999999999999E-2</v>
      </c>
      <c r="F25" t="s">
        <v>109</v>
      </c>
    </row>
    <row r="26" spans="1:10" ht="17" thickBot="1" x14ac:dyDescent="0.25">
      <c r="A26" t="s">
        <v>111</v>
      </c>
      <c r="B26" s="19">
        <f>SUM(B23:B25)</f>
        <v>24856.86541129832</v>
      </c>
      <c r="C26" s="44"/>
      <c r="D26" s="3"/>
    </row>
    <row r="27" spans="1:10" s="1" customFormat="1" ht="17" thickTop="1" x14ac:dyDescent="0.2">
      <c r="A27" s="25" t="s">
        <v>112</v>
      </c>
      <c r="B27" s="28">
        <f>B21-B26</f>
        <v>640326.40515361761</v>
      </c>
      <c r="D27" s="28"/>
      <c r="F27" s="28">
        <f>B27/12</f>
        <v>53360.533762801468</v>
      </c>
      <c r="G27" s="32" t="s">
        <v>104</v>
      </c>
    </row>
    <row r="28" spans="1:10" x14ac:dyDescent="0.2">
      <c r="A28" s="17"/>
      <c r="B28" s="18"/>
      <c r="C28" s="34"/>
      <c r="D28" s="18"/>
    </row>
    <row r="29" spans="1:10" x14ac:dyDescent="0.2">
      <c r="A29" s="17" t="s">
        <v>113</v>
      </c>
      <c r="C29" s="2"/>
    </row>
    <row r="30" spans="1:10" x14ac:dyDescent="0.2">
      <c r="A30" s="31" t="s">
        <v>106</v>
      </c>
      <c r="B30" s="3">
        <f>B23</f>
        <v>10453.200000000001</v>
      </c>
      <c r="C30" s="2"/>
      <c r="D30" s="3"/>
      <c r="E30" s="9">
        <v>6.2E-2</v>
      </c>
      <c r="F30" s="12">
        <v>168600</v>
      </c>
      <c r="G30" t="s">
        <v>107</v>
      </c>
      <c r="H30" s="266">
        <f>E30*F30</f>
        <v>10453.200000000001</v>
      </c>
    </row>
    <row r="31" spans="1:10" x14ac:dyDescent="0.2">
      <c r="A31" s="31" t="s">
        <v>108</v>
      </c>
      <c r="B31" s="3">
        <f>B24</f>
        <v>7086.6494350842431</v>
      </c>
      <c r="C31" s="2"/>
      <c r="D31" s="3"/>
      <c r="E31" s="8">
        <v>1.4500000000000001E-2</v>
      </c>
      <c r="F31" s="12">
        <v>200000</v>
      </c>
      <c r="G31" t="s">
        <v>107</v>
      </c>
      <c r="H31" s="266">
        <f>E31*F31</f>
        <v>2900</v>
      </c>
      <c r="I31" s="20">
        <v>8.9999999999999993E-3</v>
      </c>
      <c r="J31" t="s">
        <v>109</v>
      </c>
    </row>
    <row r="32" spans="1:10" x14ac:dyDescent="0.2">
      <c r="A32" s="31" t="s">
        <v>114</v>
      </c>
      <c r="B32" s="3">
        <f>IF($B$21&lt;=F32,$B$21*E32,H32)</f>
        <v>42</v>
      </c>
      <c r="C32" s="2"/>
      <c r="D32" s="3"/>
      <c r="E32" s="20">
        <v>6.0000000000000001E-3</v>
      </c>
      <c r="F32" s="12">
        <v>7000</v>
      </c>
      <c r="G32" t="s">
        <v>107</v>
      </c>
      <c r="H32" s="266">
        <f>E32*F32</f>
        <v>42</v>
      </c>
    </row>
    <row r="33" spans="1:8" x14ac:dyDescent="0.2">
      <c r="A33" s="31" t="s">
        <v>115</v>
      </c>
      <c r="B33" s="3">
        <f>IF($B$21&lt;=F33,$B$21*E33,H33)</f>
        <v>434</v>
      </c>
      <c r="C33" s="2"/>
      <c r="D33" s="3"/>
      <c r="E33" s="8">
        <v>6.2E-2</v>
      </c>
      <c r="F33" s="12">
        <v>7000</v>
      </c>
      <c r="G33" t="s">
        <v>107</v>
      </c>
      <c r="H33" s="266">
        <f t="shared" ref="H33:H34" si="0">E33*F33</f>
        <v>434</v>
      </c>
    </row>
    <row r="34" spans="1:8" x14ac:dyDescent="0.2">
      <c r="A34" s="31" t="s">
        <v>116</v>
      </c>
      <c r="B34" s="3">
        <f>IF($B$21&lt;=F34,$B$21*E34,H34)</f>
        <v>7</v>
      </c>
      <c r="C34" s="2">
        <f>SUM(B30:B34)</f>
        <v>18022.849435084245</v>
      </c>
      <c r="D34" s="3"/>
      <c r="E34" s="20">
        <v>1E-3</v>
      </c>
      <c r="F34" s="12">
        <v>7000</v>
      </c>
      <c r="G34" t="s">
        <v>107</v>
      </c>
      <c r="H34" s="266">
        <f t="shared" si="0"/>
        <v>7</v>
      </c>
    </row>
    <row r="35" spans="1:8" s="1" customFormat="1" x14ac:dyDescent="0.2">
      <c r="A35" s="25" t="s">
        <v>117</v>
      </c>
      <c r="B35" s="151">
        <f>SUM(B30:B34)</f>
        <v>18022.849435084245</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232">
        <f>B1</f>
        <v>704000.00000000023</v>
      </c>
      <c r="C39" s="154">
        <f>SUM(C1:C36)</f>
        <v>704000.00000000023</v>
      </c>
      <c r="D39" s="154">
        <f>B39-C39</f>
        <v>0</v>
      </c>
      <c r="E39" s="27"/>
    </row>
  </sheetData>
  <sheetProtection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4" r:id="rId3" name="Button 2">
              <controlPr defaultSize="0" print="0" autoFill="0" autoPict="0" macro="[0]!BalanceDebit">
                <anchor moveWithCells="1" sizeWithCells="1">
                  <from>
                    <xdr:col>4</xdr:col>
                    <xdr:colOff>0</xdr:colOff>
                    <xdr:row>37</xdr:row>
                    <xdr:rowOff>12700</xdr:rowOff>
                  </from>
                  <to>
                    <xdr:col>5</xdr:col>
                    <xdr:colOff>673100</xdr:colOff>
                    <xdr:row>38</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ACFAB-D0A1-1242-B3CC-2127108883B7}">
  <sheetPr codeName="Sheet11"/>
  <dimension ref="A1:J39"/>
  <sheetViews>
    <sheetView topLeftCell="A18" zoomScale="130" zoomScaleNormal="130" workbookViewId="0">
      <selection activeCell="D43" sqref="D43"/>
    </sheetView>
  </sheetViews>
  <sheetFormatPr baseColWidth="10" defaultColWidth="11" defaultRowHeight="16" x14ac:dyDescent="0.2"/>
  <cols>
    <col min="1" max="1" width="46" bestFit="1" customWidth="1"/>
    <col min="2" max="2" width="13" bestFit="1" customWidth="1"/>
    <col min="3" max="3" width="18.6640625" bestFit="1" customWidth="1"/>
    <col min="4" max="4" width="15.83203125" bestFit="1" customWidth="1"/>
    <col min="5" max="5" width="11.33203125" bestFit="1" customWidth="1"/>
    <col min="6" max="6" width="13" bestFit="1" customWidth="1"/>
  </cols>
  <sheetData>
    <row r="1" spans="1:5" s="23" customFormat="1" x14ac:dyDescent="0.2">
      <c r="A1" s="47" t="s">
        <v>89</v>
      </c>
      <c r="B1" s="46">
        <f>'Branch example'!T4</f>
        <v>1584000.0000000005</v>
      </c>
      <c r="D1" s="47" t="s">
        <v>163</v>
      </c>
      <c r="E1" s="158">
        <f>'Branch example'!T6</f>
        <v>64.000000000000014</v>
      </c>
    </row>
    <row r="2" spans="1:5" s="50" customFormat="1" x14ac:dyDescent="0.2"/>
    <row r="3" spans="1:5" x14ac:dyDescent="0.2">
      <c r="A3" s="48" t="s">
        <v>90</v>
      </c>
      <c r="B3" s="14"/>
      <c r="C3" s="2"/>
    </row>
    <row r="4" spans="1:5" x14ac:dyDescent="0.2">
      <c r="A4" s="48"/>
      <c r="B4" s="14"/>
      <c r="C4" s="2"/>
    </row>
    <row r="5" spans="1:5" x14ac:dyDescent="0.2">
      <c r="A5" s="48"/>
      <c r="B5" s="14"/>
      <c r="C5" s="2"/>
    </row>
    <row r="6" spans="1:5" x14ac:dyDescent="0.2">
      <c r="A6" s="48"/>
      <c r="B6" s="14"/>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96</v>
      </c>
      <c r="B12" s="49">
        <v>300</v>
      </c>
      <c r="C12" s="2"/>
    </row>
    <row r="13" spans="1:5" x14ac:dyDescent="0.2">
      <c r="A13" s="48" t="s">
        <v>97</v>
      </c>
      <c r="C13" s="2"/>
    </row>
    <row r="14" spans="1:5" x14ac:dyDescent="0.2">
      <c r="A14" s="22" t="s">
        <v>98</v>
      </c>
      <c r="B14" s="14">
        <f>12*197</f>
        <v>2364</v>
      </c>
      <c r="C14" s="2"/>
      <c r="E14" s="8"/>
    </row>
    <row r="15" spans="1:5" x14ac:dyDescent="0.2">
      <c r="A15" s="22" t="s">
        <v>99</v>
      </c>
      <c r="B15" s="14">
        <f>12*600</f>
        <v>7200</v>
      </c>
      <c r="C15" s="2"/>
    </row>
    <row r="16" spans="1:5" x14ac:dyDescent="0.2">
      <c r="A16" s="22" t="s">
        <v>100</v>
      </c>
      <c r="B16" s="14">
        <f>12*600</f>
        <v>7200</v>
      </c>
      <c r="C16" s="2">
        <f>SUM(B8:B16)</f>
        <v>20793.88</v>
      </c>
      <c r="D16" s="3"/>
    </row>
    <row r="17" spans="1:10" x14ac:dyDescent="0.2">
      <c r="A17" s="15" t="s">
        <v>101</v>
      </c>
      <c r="B17" s="16">
        <f>SUM(B8:B16)</f>
        <v>20793.88</v>
      </c>
      <c r="C17" s="2"/>
      <c r="D17" s="3"/>
      <c r="E17" s="8"/>
    </row>
    <row r="18" spans="1:10" x14ac:dyDescent="0.2">
      <c r="C18" s="2"/>
    </row>
    <row r="19" spans="1:10" s="1" customFormat="1" x14ac:dyDescent="0.2">
      <c r="A19" s="29" t="s">
        <v>102</v>
      </c>
      <c r="B19" s="28">
        <f>B1-B17</f>
        <v>1563206.1200000006</v>
      </c>
      <c r="C19" s="33"/>
      <c r="D19" s="4"/>
    </row>
    <row r="20" spans="1:10" x14ac:dyDescent="0.2">
      <c r="C20" s="2"/>
      <c r="E20" s="8"/>
      <c r="F20" s="21"/>
    </row>
    <row r="21" spans="1:10" s="1" customFormat="1" x14ac:dyDescent="0.2">
      <c r="A21" s="25" t="s">
        <v>103</v>
      </c>
      <c r="B21" s="28">
        <f>B19*E21</f>
        <v>1537333.9147670968</v>
      </c>
      <c r="C21" s="33">
        <f>B21</f>
        <v>1537333.9147670968</v>
      </c>
      <c r="D21" s="4"/>
      <c r="E21" s="97">
        <v>0.98344926820469214</v>
      </c>
      <c r="F21" s="28">
        <f>B21/12</f>
        <v>128111.15956392472</v>
      </c>
      <c r="G21" s="32" t="s">
        <v>104</v>
      </c>
    </row>
    <row r="22" spans="1:10" x14ac:dyDescent="0.2">
      <c r="A22" t="s">
        <v>105</v>
      </c>
      <c r="B22" s="3"/>
      <c r="C22" s="2"/>
      <c r="D22" s="3"/>
    </row>
    <row r="23" spans="1:10" x14ac:dyDescent="0.2">
      <c r="A23" s="31" t="s">
        <v>106</v>
      </c>
      <c r="B23" s="3">
        <f>IF($B$21&lt;=F23,$B$21*E23,H23)</f>
        <v>10453.200000000001</v>
      </c>
      <c r="C23" s="2"/>
      <c r="D23" s="3"/>
      <c r="E23" s="9">
        <v>6.2E-2</v>
      </c>
      <c r="F23" s="12">
        <v>168600</v>
      </c>
      <c r="G23" t="s">
        <v>107</v>
      </c>
      <c r="H23" s="12">
        <f>E23*F23</f>
        <v>10453.200000000001</v>
      </c>
    </row>
    <row r="24" spans="1:10" x14ac:dyDescent="0.2">
      <c r="A24" s="31" t="s">
        <v>108</v>
      </c>
      <c r="B24" s="3">
        <f>IF($B$21&lt;=F24,$B$21*E24,H24+$I$24*($B$21-$F$24))</f>
        <v>14936.00523290387</v>
      </c>
      <c r="C24" s="2"/>
      <c r="D24" s="3"/>
      <c r="E24" s="8">
        <v>1.4500000000000001E-2</v>
      </c>
      <c r="F24" s="12">
        <v>200000</v>
      </c>
      <c r="G24" t="s">
        <v>107</v>
      </c>
      <c r="H24" s="12">
        <f>E24*F24</f>
        <v>2900</v>
      </c>
      <c r="I24" s="20">
        <v>8.9999999999999993E-3</v>
      </c>
      <c r="J24" t="s">
        <v>109</v>
      </c>
    </row>
    <row r="25" spans="1:10" x14ac:dyDescent="0.2">
      <c r="A25" s="31" t="s">
        <v>110</v>
      </c>
      <c r="B25" s="3">
        <f>$B$21*E25</f>
        <v>16910.673062438062</v>
      </c>
      <c r="C25" s="2"/>
      <c r="D25" s="3"/>
      <c r="E25" s="20">
        <v>1.0999999999999999E-2</v>
      </c>
      <c r="F25" t="s">
        <v>109</v>
      </c>
    </row>
    <row r="26" spans="1:10" ht="17" thickBot="1" x14ac:dyDescent="0.25">
      <c r="A26" t="s">
        <v>111</v>
      </c>
      <c r="B26" s="19">
        <f>SUM(B23:B25)</f>
        <v>42299.878295341929</v>
      </c>
      <c r="C26" s="44"/>
      <c r="D26" s="3"/>
    </row>
    <row r="27" spans="1:10" s="1" customFormat="1" ht="17" thickTop="1" x14ac:dyDescent="0.2">
      <c r="A27" s="25" t="s">
        <v>112</v>
      </c>
      <c r="B27" s="28">
        <f>B21-B26</f>
        <v>1495034.0364717548</v>
      </c>
      <c r="D27" s="28"/>
      <c r="F27" s="28">
        <f>B27/12</f>
        <v>124586.16970597957</v>
      </c>
      <c r="G27" s="32" t="s">
        <v>104</v>
      </c>
    </row>
    <row r="28" spans="1:10" x14ac:dyDescent="0.2">
      <c r="A28" s="17"/>
      <c r="B28" s="18"/>
      <c r="C28" s="34"/>
      <c r="D28" s="18"/>
    </row>
    <row r="29" spans="1:10" x14ac:dyDescent="0.2">
      <c r="A29" s="17" t="s">
        <v>113</v>
      </c>
      <c r="C29" s="2"/>
    </row>
    <row r="30" spans="1:10" x14ac:dyDescent="0.2">
      <c r="A30" s="31" t="s">
        <v>106</v>
      </c>
      <c r="B30" s="3">
        <f>B23</f>
        <v>10453.200000000001</v>
      </c>
      <c r="C30" s="2"/>
      <c r="D30" s="3"/>
      <c r="E30" s="9">
        <v>6.2E-2</v>
      </c>
      <c r="F30" s="12">
        <v>168600</v>
      </c>
      <c r="G30" t="s">
        <v>107</v>
      </c>
      <c r="H30" s="266">
        <f>E30*F30</f>
        <v>10453.200000000001</v>
      </c>
    </row>
    <row r="31" spans="1:10" x14ac:dyDescent="0.2">
      <c r="A31" s="31" t="s">
        <v>108</v>
      </c>
      <c r="B31" s="3">
        <f>B24</f>
        <v>14936.00523290387</v>
      </c>
      <c r="C31" s="2"/>
      <c r="D31" s="3"/>
      <c r="E31" s="8">
        <v>1.4500000000000001E-2</v>
      </c>
      <c r="F31" s="12">
        <v>200000</v>
      </c>
      <c r="G31" t="s">
        <v>107</v>
      </c>
      <c r="H31" s="266">
        <f>E31*F31</f>
        <v>2900</v>
      </c>
      <c r="I31" s="20">
        <v>8.9999999999999993E-3</v>
      </c>
      <c r="J31" t="s">
        <v>109</v>
      </c>
    </row>
    <row r="32" spans="1:10" x14ac:dyDescent="0.2">
      <c r="A32" s="31" t="s">
        <v>114</v>
      </c>
      <c r="B32" s="3">
        <f>IF($B$21&lt;=F32,$B$21*E32,H32)</f>
        <v>42</v>
      </c>
      <c r="C32" s="2"/>
      <c r="D32" s="3"/>
      <c r="E32" s="20">
        <v>6.0000000000000001E-3</v>
      </c>
      <c r="F32" s="12">
        <v>7000</v>
      </c>
      <c r="G32" t="s">
        <v>107</v>
      </c>
      <c r="H32" s="266">
        <f>E32*F32</f>
        <v>42</v>
      </c>
    </row>
    <row r="33" spans="1:8" x14ac:dyDescent="0.2">
      <c r="A33" s="31" t="s">
        <v>115</v>
      </c>
      <c r="B33" s="3">
        <f>IF($B$21&lt;=F33,$B$21*E33,H33)</f>
        <v>434</v>
      </c>
      <c r="C33" s="2"/>
      <c r="D33" s="3"/>
      <c r="E33" s="8">
        <v>6.2E-2</v>
      </c>
      <c r="F33" s="12">
        <v>7000</v>
      </c>
      <c r="G33" t="s">
        <v>107</v>
      </c>
      <c r="H33" s="266">
        <f t="shared" ref="H33:H34" si="0">E33*F33</f>
        <v>434</v>
      </c>
    </row>
    <row r="34" spans="1:8" x14ac:dyDescent="0.2">
      <c r="A34" s="31" t="s">
        <v>116</v>
      </c>
      <c r="B34" s="3">
        <f>IF($B$21&lt;=F34,$B$21*E34,H34)</f>
        <v>7</v>
      </c>
      <c r="C34" s="2">
        <f>SUM(B30:B34)</f>
        <v>25872.205232903871</v>
      </c>
      <c r="D34" s="3"/>
      <c r="E34" s="20">
        <v>1E-3</v>
      </c>
      <c r="F34" s="12">
        <v>7000</v>
      </c>
      <c r="G34" t="s">
        <v>107</v>
      </c>
      <c r="H34" s="266">
        <f t="shared" si="0"/>
        <v>7</v>
      </c>
    </row>
    <row r="35" spans="1:8" s="1" customFormat="1" x14ac:dyDescent="0.2">
      <c r="A35" s="25" t="s">
        <v>117</v>
      </c>
      <c r="B35" s="30">
        <f>SUM(B30:B34)</f>
        <v>25872.205232903871</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37">
        <f>B1</f>
        <v>1584000.0000000005</v>
      </c>
      <c r="C39" s="38">
        <f>SUM(C1:C36)</f>
        <v>1584000.0000000005</v>
      </c>
      <c r="D39" s="90">
        <f>B39-C39</f>
        <v>0</v>
      </c>
      <c r="E39" s="27"/>
    </row>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BalanceDebit">
                <anchor moveWithCells="1" sizeWithCells="1">
                  <from>
                    <xdr:col>3</xdr:col>
                    <xdr:colOff>1193800</xdr:colOff>
                    <xdr:row>37</xdr:row>
                    <xdr:rowOff>12700</xdr:rowOff>
                  </from>
                  <to>
                    <xdr:col>5</xdr:col>
                    <xdr:colOff>647700</xdr:colOff>
                    <xdr:row>38</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D1AA8-6FEB-0243-B127-C0372DF1B1CC}">
  <sheetPr codeName="Sheet4"/>
  <dimension ref="A1:J39"/>
  <sheetViews>
    <sheetView zoomScale="132" zoomScaleNormal="132" workbookViewId="0">
      <selection activeCell="F41" sqref="F41"/>
    </sheetView>
  </sheetViews>
  <sheetFormatPr baseColWidth="10" defaultColWidth="11" defaultRowHeight="16" x14ac:dyDescent="0.2"/>
  <cols>
    <col min="1" max="1" width="46" bestFit="1" customWidth="1"/>
    <col min="2" max="2" width="13" bestFit="1" customWidth="1"/>
    <col min="3" max="3" width="18.6640625" bestFit="1" customWidth="1"/>
    <col min="4" max="4" width="15.83203125" bestFit="1" customWidth="1"/>
    <col min="5" max="5" width="11.33203125" bestFit="1" customWidth="1"/>
    <col min="6" max="6" width="13" bestFit="1" customWidth="1"/>
  </cols>
  <sheetData>
    <row r="1" spans="1:5" s="23" customFormat="1" x14ac:dyDescent="0.2">
      <c r="A1" s="47" t="s">
        <v>89</v>
      </c>
      <c r="B1" s="46">
        <f>'Branch example'!U4</f>
        <v>2464000.0000000009</v>
      </c>
      <c r="D1" s="157" t="s">
        <v>163</v>
      </c>
      <c r="E1" s="158">
        <f>'Branch example'!U6</f>
        <v>96.000000000000028</v>
      </c>
    </row>
    <row r="2" spans="1:5" s="50" customFormat="1" x14ac:dyDescent="0.2"/>
    <row r="3" spans="1:5" x14ac:dyDescent="0.2">
      <c r="A3" s="48" t="s">
        <v>90</v>
      </c>
      <c r="B3" s="14"/>
      <c r="C3" s="2"/>
    </row>
    <row r="4" spans="1:5" x14ac:dyDescent="0.2">
      <c r="A4" s="48"/>
      <c r="B4" s="14"/>
      <c r="C4" s="2"/>
    </row>
    <row r="5" spans="1:5" x14ac:dyDescent="0.2">
      <c r="A5" s="48"/>
      <c r="B5" s="14"/>
      <c r="C5" s="2"/>
    </row>
    <row r="6" spans="1:5" x14ac:dyDescent="0.2">
      <c r="A6" s="48"/>
      <c r="B6" s="14"/>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96</v>
      </c>
      <c r="B12" s="49">
        <v>300</v>
      </c>
      <c r="C12" s="2"/>
    </row>
    <row r="13" spans="1:5" x14ac:dyDescent="0.2">
      <c r="A13" s="48" t="s">
        <v>97</v>
      </c>
      <c r="C13" s="2"/>
    </row>
    <row r="14" spans="1:5" x14ac:dyDescent="0.2">
      <c r="A14" s="22" t="s">
        <v>98</v>
      </c>
      <c r="B14" s="14">
        <f>12*197</f>
        <v>2364</v>
      </c>
      <c r="C14" s="2"/>
      <c r="E14" s="8"/>
    </row>
    <row r="15" spans="1:5" x14ac:dyDescent="0.2">
      <c r="A15" s="22" t="s">
        <v>99</v>
      </c>
      <c r="B15" s="14">
        <f>12*600</f>
        <v>7200</v>
      </c>
      <c r="C15" s="2"/>
    </row>
    <row r="16" spans="1:5" x14ac:dyDescent="0.2">
      <c r="A16" s="22" t="s">
        <v>100</v>
      </c>
      <c r="B16" s="14">
        <f>12*600</f>
        <v>7200</v>
      </c>
      <c r="C16" s="2">
        <f>SUM(B8:B16)</f>
        <v>20793.88</v>
      </c>
      <c r="D16" s="3"/>
    </row>
    <row r="17" spans="1:10" x14ac:dyDescent="0.2">
      <c r="A17" s="15" t="s">
        <v>101</v>
      </c>
      <c r="B17" s="16">
        <f>SUM(B8:B16)</f>
        <v>20793.88</v>
      </c>
      <c r="C17" s="2"/>
      <c r="D17" s="3"/>
      <c r="E17" s="8"/>
    </row>
    <row r="18" spans="1:10" x14ac:dyDescent="0.2">
      <c r="C18" s="2"/>
    </row>
    <row r="19" spans="1:10" s="1" customFormat="1" x14ac:dyDescent="0.2">
      <c r="A19" s="29" t="s">
        <v>102</v>
      </c>
      <c r="B19" s="28">
        <f>B1-B17</f>
        <v>2443206.120000001</v>
      </c>
      <c r="C19" s="33"/>
      <c r="D19" s="4"/>
      <c r="E19" s="1">
        <v>0</v>
      </c>
    </row>
    <row r="20" spans="1:10" x14ac:dyDescent="0.2">
      <c r="C20" s="2"/>
      <c r="E20" s="8"/>
      <c r="F20" s="21"/>
    </row>
    <row r="21" spans="1:10" s="1" customFormat="1" x14ac:dyDescent="0.2">
      <c r="A21" s="25" t="s">
        <v>103</v>
      </c>
      <c r="B21" s="28">
        <f>B19*E21</f>
        <v>2409484.5589692774</v>
      </c>
      <c r="C21" s="33">
        <f>B21</f>
        <v>2409484.5589692774</v>
      </c>
      <c r="D21" s="4"/>
      <c r="E21" s="97">
        <v>0.98619782393524635</v>
      </c>
      <c r="F21" s="28">
        <f>B21/12</f>
        <v>200790.37991410645</v>
      </c>
      <c r="G21" s="32" t="s">
        <v>104</v>
      </c>
    </row>
    <row r="22" spans="1:10" x14ac:dyDescent="0.2">
      <c r="A22" t="s">
        <v>105</v>
      </c>
      <c r="B22" s="3"/>
      <c r="C22" s="2"/>
      <c r="D22" s="3"/>
    </row>
    <row r="23" spans="1:10" x14ac:dyDescent="0.2">
      <c r="A23" s="31" t="s">
        <v>106</v>
      </c>
      <c r="B23" s="3">
        <f>IF($B$21&lt;=F23,$B$21*E23,H23)</f>
        <v>10453.200000000001</v>
      </c>
      <c r="C23" s="2"/>
      <c r="D23" s="3"/>
      <c r="E23" s="9">
        <v>6.2E-2</v>
      </c>
      <c r="F23" s="12">
        <v>168600</v>
      </c>
      <c r="G23" t="s">
        <v>107</v>
      </c>
      <c r="H23" s="12">
        <f>E23*F23</f>
        <v>10453.200000000001</v>
      </c>
    </row>
    <row r="24" spans="1:10" x14ac:dyDescent="0.2">
      <c r="A24" s="31" t="s">
        <v>108</v>
      </c>
      <c r="B24" s="3">
        <f>IF($B$21&lt;=F24,$B$21*E24,H24+$I$24*($B$21-$F$24))</f>
        <v>22785.361030723496</v>
      </c>
      <c r="C24" s="2"/>
      <c r="D24" s="3"/>
      <c r="E24" s="8">
        <v>1.4500000000000001E-2</v>
      </c>
      <c r="F24" s="12">
        <v>200000</v>
      </c>
      <c r="G24" t="s">
        <v>107</v>
      </c>
      <c r="H24" s="12">
        <f>E24*F24</f>
        <v>2900</v>
      </c>
      <c r="I24" s="20">
        <v>8.9999999999999993E-3</v>
      </c>
      <c r="J24" t="s">
        <v>109</v>
      </c>
    </row>
    <row r="25" spans="1:10" x14ac:dyDescent="0.2">
      <c r="A25" s="31" t="s">
        <v>110</v>
      </c>
      <c r="B25" s="3">
        <f>$B$21*E25</f>
        <v>26504.330148662051</v>
      </c>
      <c r="C25" s="2"/>
      <c r="D25" s="3"/>
      <c r="E25" s="20">
        <v>1.0999999999999999E-2</v>
      </c>
      <c r="F25" t="s">
        <v>109</v>
      </c>
    </row>
    <row r="26" spans="1:10" ht="17" thickBot="1" x14ac:dyDescent="0.25">
      <c r="A26" t="s">
        <v>111</v>
      </c>
      <c r="B26" s="19">
        <f>SUM(B23:B25)</f>
        <v>59742.891179385551</v>
      </c>
      <c r="C26" s="44"/>
      <c r="D26" s="3"/>
    </row>
    <row r="27" spans="1:10" s="1" customFormat="1" ht="17" thickTop="1" x14ac:dyDescent="0.2">
      <c r="A27" s="25" t="s">
        <v>112</v>
      </c>
      <c r="B27" s="28">
        <f>B21-B26</f>
        <v>2349741.6677898918</v>
      </c>
      <c r="D27" s="28"/>
      <c r="F27" s="28">
        <f>B27/12</f>
        <v>195811.80564915764</v>
      </c>
      <c r="G27" s="32" t="s">
        <v>104</v>
      </c>
    </row>
    <row r="28" spans="1:10" x14ac:dyDescent="0.2">
      <c r="A28" s="17"/>
      <c r="B28" s="18"/>
      <c r="C28" s="34"/>
      <c r="D28" s="18"/>
    </row>
    <row r="29" spans="1:10" x14ac:dyDescent="0.2">
      <c r="A29" s="17" t="s">
        <v>113</v>
      </c>
      <c r="C29" s="2"/>
    </row>
    <row r="30" spans="1:10" x14ac:dyDescent="0.2">
      <c r="A30" s="31" t="s">
        <v>106</v>
      </c>
      <c r="B30" s="3">
        <f>B23</f>
        <v>10453.200000000001</v>
      </c>
      <c r="C30" s="2"/>
      <c r="D30" s="3"/>
      <c r="E30" s="9">
        <v>6.2E-2</v>
      </c>
      <c r="F30" s="12">
        <v>168600</v>
      </c>
      <c r="G30" t="s">
        <v>107</v>
      </c>
      <c r="H30" s="266">
        <f>E30*F30</f>
        <v>10453.200000000001</v>
      </c>
    </row>
    <row r="31" spans="1:10" x14ac:dyDescent="0.2">
      <c r="A31" s="31" t="s">
        <v>108</v>
      </c>
      <c r="B31" s="3">
        <f>B24</f>
        <v>22785.361030723496</v>
      </c>
      <c r="C31" s="2"/>
      <c r="D31" s="3"/>
      <c r="E31" s="8">
        <v>1.4500000000000001E-2</v>
      </c>
      <c r="F31" s="12">
        <v>200000</v>
      </c>
      <c r="G31" t="s">
        <v>107</v>
      </c>
      <c r="H31" s="266">
        <f>E31*F31</f>
        <v>2900</v>
      </c>
      <c r="I31" s="20">
        <v>8.9999999999999993E-3</v>
      </c>
      <c r="J31" t="s">
        <v>109</v>
      </c>
    </row>
    <row r="32" spans="1:10" x14ac:dyDescent="0.2">
      <c r="A32" s="31" t="s">
        <v>114</v>
      </c>
      <c r="B32" s="3">
        <f>IF($B$21&lt;=F32,$B$21*E32,H32)</f>
        <v>42</v>
      </c>
      <c r="C32" s="2"/>
      <c r="D32" s="3"/>
      <c r="E32" s="20">
        <v>6.0000000000000001E-3</v>
      </c>
      <c r="F32" s="12">
        <v>7000</v>
      </c>
      <c r="G32" t="s">
        <v>107</v>
      </c>
      <c r="H32" s="266">
        <f>E32*F32</f>
        <v>42</v>
      </c>
    </row>
    <row r="33" spans="1:8" x14ac:dyDescent="0.2">
      <c r="A33" s="31" t="s">
        <v>115</v>
      </c>
      <c r="B33" s="3">
        <f>IF($B$21&lt;=F33,$B$21*E33,H33)</f>
        <v>434</v>
      </c>
      <c r="C33" s="2"/>
      <c r="D33" s="3"/>
      <c r="E33" s="8">
        <v>6.2E-2</v>
      </c>
      <c r="F33" s="12">
        <v>7000</v>
      </c>
      <c r="G33" t="s">
        <v>107</v>
      </c>
      <c r="H33" s="266">
        <f t="shared" ref="H33:H34" si="0">E33*F33</f>
        <v>434</v>
      </c>
    </row>
    <row r="34" spans="1:8" x14ac:dyDescent="0.2">
      <c r="A34" s="31" t="s">
        <v>116</v>
      </c>
      <c r="B34" s="3">
        <f>IF($B$21&lt;=F34,$B$21*E34,H34)</f>
        <v>7</v>
      </c>
      <c r="C34" s="2">
        <f>SUM(B30:B34)</f>
        <v>33721.561030723497</v>
      </c>
      <c r="D34" s="3"/>
      <c r="E34" s="20">
        <v>1E-3</v>
      </c>
      <c r="F34" s="12">
        <v>7000</v>
      </c>
      <c r="G34" t="s">
        <v>107</v>
      </c>
      <c r="H34" s="266">
        <f t="shared" si="0"/>
        <v>7</v>
      </c>
    </row>
    <row r="35" spans="1:8" s="1" customFormat="1" x14ac:dyDescent="0.2">
      <c r="A35" s="25" t="s">
        <v>117</v>
      </c>
      <c r="B35" s="30">
        <f>SUM(B30:B34)</f>
        <v>33721.561030723497</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37">
        <f>B1</f>
        <v>2464000.0000000009</v>
      </c>
      <c r="C39" s="38">
        <f>SUM(C1:C36)</f>
        <v>2464000.0000000009</v>
      </c>
      <c r="D39" s="90">
        <f>B39-C39</f>
        <v>0</v>
      </c>
      <c r="E39" s="27"/>
    </row>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alanceDebit">
                <anchor moveWithCells="1" sizeWithCells="1">
                  <from>
                    <xdr:col>3</xdr:col>
                    <xdr:colOff>1193800</xdr:colOff>
                    <xdr:row>37</xdr:row>
                    <xdr:rowOff>0</xdr:rowOff>
                  </from>
                  <to>
                    <xdr:col>5</xdr:col>
                    <xdr:colOff>660400</xdr:colOff>
                    <xdr:row>38</xdr:row>
                    <xdr:rowOff>177800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94AB-4B62-824E-BC8E-1DFE08E598DC}">
  <sheetPr codeName="Sheet5"/>
  <dimension ref="A1:J39"/>
  <sheetViews>
    <sheetView zoomScale="127" zoomScaleNormal="127" workbookViewId="0">
      <selection activeCell="E41" sqref="E41"/>
    </sheetView>
  </sheetViews>
  <sheetFormatPr baseColWidth="10" defaultColWidth="11" defaultRowHeight="16" x14ac:dyDescent="0.2"/>
  <cols>
    <col min="1" max="1" width="46" bestFit="1" customWidth="1"/>
    <col min="2" max="2" width="13" bestFit="1" customWidth="1"/>
    <col min="3" max="3" width="18.6640625" bestFit="1" customWidth="1"/>
    <col min="4" max="4" width="15.83203125" bestFit="1" customWidth="1"/>
    <col min="5" max="5" width="11.33203125" bestFit="1" customWidth="1"/>
    <col min="6" max="6" width="13" bestFit="1" customWidth="1"/>
  </cols>
  <sheetData>
    <row r="1" spans="1:5" s="23" customFormat="1" x14ac:dyDescent="0.2">
      <c r="A1" s="47" t="s">
        <v>123</v>
      </c>
      <c r="B1" s="46">
        <f>'Branch example'!V4</f>
        <v>3344000.0000000009</v>
      </c>
      <c r="D1" s="157" t="s">
        <v>163</v>
      </c>
      <c r="E1" s="158">
        <f>'Branch example'!V6</f>
        <v>128.00000000000003</v>
      </c>
    </row>
    <row r="2" spans="1:5" s="50" customFormat="1" x14ac:dyDescent="0.2"/>
    <row r="3" spans="1:5" x14ac:dyDescent="0.2">
      <c r="A3" s="48" t="s">
        <v>90</v>
      </c>
      <c r="B3" s="14"/>
      <c r="C3" s="2"/>
    </row>
    <row r="4" spans="1:5" x14ac:dyDescent="0.2">
      <c r="A4" s="48"/>
      <c r="B4" s="14"/>
      <c r="C4" s="2"/>
    </row>
    <row r="5" spans="1:5" x14ac:dyDescent="0.2">
      <c r="A5" s="48" t="s">
        <v>124</v>
      </c>
      <c r="B5" s="14"/>
      <c r="C5" s="2"/>
    </row>
    <row r="6" spans="1:5" x14ac:dyDescent="0.2">
      <c r="A6" s="22" t="s">
        <v>125</v>
      </c>
      <c r="B6" s="14">
        <v>52000</v>
      </c>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126</v>
      </c>
      <c r="B12" s="49">
        <v>300</v>
      </c>
      <c r="C12" s="2"/>
    </row>
    <row r="13" spans="1:5" x14ac:dyDescent="0.2">
      <c r="A13" s="48" t="s">
        <v>97</v>
      </c>
      <c r="C13" s="2"/>
    </row>
    <row r="14" spans="1:5" x14ac:dyDescent="0.2">
      <c r="A14" s="22" t="s">
        <v>98</v>
      </c>
      <c r="B14" s="14">
        <f>12*197</f>
        <v>2364</v>
      </c>
      <c r="C14" s="2"/>
    </row>
    <row r="15" spans="1:5" x14ac:dyDescent="0.2">
      <c r="A15" s="22" t="s">
        <v>99</v>
      </c>
      <c r="B15" s="14">
        <v>14400</v>
      </c>
      <c r="C15" s="2"/>
    </row>
    <row r="16" spans="1:5" x14ac:dyDescent="0.2">
      <c r="A16" s="22" t="s">
        <v>100</v>
      </c>
      <c r="B16" s="14">
        <v>14400</v>
      </c>
      <c r="C16" s="2">
        <f>SUM(B6:B16)</f>
        <v>87193.88</v>
      </c>
      <c r="D16" s="3"/>
    </row>
    <row r="17" spans="1:10" x14ac:dyDescent="0.2">
      <c r="A17" s="15" t="s">
        <v>101</v>
      </c>
      <c r="B17" s="16">
        <f>SUM(B6:B16)</f>
        <v>87193.88</v>
      </c>
      <c r="C17" s="2"/>
      <c r="D17" s="3"/>
    </row>
    <row r="18" spans="1:10" x14ac:dyDescent="0.2">
      <c r="C18" s="2"/>
    </row>
    <row r="19" spans="1:10" s="1" customFormat="1" x14ac:dyDescent="0.2">
      <c r="A19" s="29" t="s">
        <v>102</v>
      </c>
      <c r="B19" s="28">
        <f>B1-B17</f>
        <v>3256806.120000001</v>
      </c>
      <c r="C19" s="33"/>
      <c r="D19" s="4"/>
    </row>
    <row r="20" spans="1:10" x14ac:dyDescent="0.2">
      <c r="C20" s="2"/>
      <c r="E20" s="8"/>
      <c r="F20" s="21"/>
    </row>
    <row r="21" spans="1:10" s="1" customFormat="1" x14ac:dyDescent="0.2">
      <c r="A21" s="25" t="s">
        <v>103</v>
      </c>
      <c r="B21" s="28">
        <f>B19*E21</f>
        <v>3215827.4727452938</v>
      </c>
      <c r="C21" s="33">
        <f>B21</f>
        <v>3215827.4727452938</v>
      </c>
      <c r="D21" s="4"/>
      <c r="E21" s="97">
        <v>0.98741753554101419</v>
      </c>
      <c r="F21" s="28">
        <f>B21/12</f>
        <v>267985.6227287745</v>
      </c>
      <c r="G21" s="32" t="s">
        <v>104</v>
      </c>
    </row>
    <row r="22" spans="1:10" x14ac:dyDescent="0.2">
      <c r="A22" t="s">
        <v>105</v>
      </c>
      <c r="B22" s="3"/>
      <c r="C22" s="2"/>
      <c r="D22" s="3"/>
    </row>
    <row r="23" spans="1:10" x14ac:dyDescent="0.2">
      <c r="A23" s="31" t="s">
        <v>106</v>
      </c>
      <c r="B23" s="3">
        <f>IF($B$21&lt;=F23,$B$21*E23,H23)</f>
        <v>10453.200000000001</v>
      </c>
      <c r="C23" s="2"/>
      <c r="D23" s="3"/>
      <c r="E23" s="9">
        <v>6.2E-2</v>
      </c>
      <c r="F23" s="12">
        <v>168600</v>
      </c>
      <c r="G23" t="s">
        <v>107</v>
      </c>
      <c r="H23" s="12">
        <f>E23*F23</f>
        <v>10453.200000000001</v>
      </c>
    </row>
    <row r="24" spans="1:10" x14ac:dyDescent="0.2">
      <c r="A24" s="31" t="s">
        <v>108</v>
      </c>
      <c r="B24" s="3">
        <f>IF($B$21&lt;=F24,$B$21*E24,H24+$I$24*($B$21-$F$24))</f>
        <v>30042.44725470764</v>
      </c>
      <c r="C24" s="2"/>
      <c r="D24" s="3"/>
      <c r="E24" s="8">
        <v>1.4500000000000001E-2</v>
      </c>
      <c r="F24" s="12">
        <v>200000</v>
      </c>
      <c r="G24" t="s">
        <v>107</v>
      </c>
      <c r="H24" s="12">
        <f>E24*F24</f>
        <v>2900</v>
      </c>
      <c r="I24" s="20">
        <v>8.9999999999999993E-3</v>
      </c>
      <c r="J24" t="s">
        <v>109</v>
      </c>
    </row>
    <row r="25" spans="1:10" x14ac:dyDescent="0.2">
      <c r="A25" s="31" t="s">
        <v>110</v>
      </c>
      <c r="B25" s="3">
        <f>$B$21*E25</f>
        <v>35374.102200198227</v>
      </c>
      <c r="C25" s="2"/>
      <c r="D25" s="3"/>
      <c r="E25" s="20">
        <v>1.0999999999999999E-2</v>
      </c>
      <c r="F25" t="s">
        <v>109</v>
      </c>
    </row>
    <row r="26" spans="1:10" ht="17" thickBot="1" x14ac:dyDescent="0.25">
      <c r="A26" t="s">
        <v>111</v>
      </c>
      <c r="B26" s="19">
        <f>SUM(B23:B25)</f>
        <v>75869.749454905861</v>
      </c>
      <c r="C26" s="44"/>
      <c r="D26" s="3"/>
    </row>
    <row r="27" spans="1:10" s="1" customFormat="1" ht="17" thickTop="1" x14ac:dyDescent="0.2">
      <c r="A27" s="25" t="s">
        <v>112</v>
      </c>
      <c r="B27" s="28">
        <f>B21-B26</f>
        <v>3139957.723290388</v>
      </c>
      <c r="D27" s="28"/>
      <c r="F27" s="28">
        <f>B27/12</f>
        <v>261663.14360753234</v>
      </c>
      <c r="G27" s="32" t="s">
        <v>104</v>
      </c>
    </row>
    <row r="28" spans="1:10" x14ac:dyDescent="0.2">
      <c r="A28" s="17"/>
      <c r="B28" s="18"/>
      <c r="C28" s="34"/>
      <c r="D28" s="18"/>
    </row>
    <row r="29" spans="1:10" x14ac:dyDescent="0.2">
      <c r="A29" s="17" t="s">
        <v>113</v>
      </c>
      <c r="C29" s="2"/>
    </row>
    <row r="30" spans="1:10" x14ac:dyDescent="0.2">
      <c r="A30" s="31" t="s">
        <v>106</v>
      </c>
      <c r="B30" s="3">
        <f>B23</f>
        <v>10453.200000000001</v>
      </c>
      <c r="C30" s="2"/>
      <c r="D30" s="3"/>
      <c r="E30" s="9">
        <v>6.2E-2</v>
      </c>
      <c r="F30" s="12">
        <v>168600</v>
      </c>
      <c r="G30" t="s">
        <v>107</v>
      </c>
      <c r="H30" s="266">
        <f>E30*F30</f>
        <v>10453.200000000001</v>
      </c>
    </row>
    <row r="31" spans="1:10" x14ac:dyDescent="0.2">
      <c r="A31" s="31" t="s">
        <v>108</v>
      </c>
      <c r="B31" s="3">
        <f>B24</f>
        <v>30042.44725470764</v>
      </c>
      <c r="C31" s="2"/>
      <c r="D31" s="3"/>
      <c r="E31" s="8">
        <v>1.4500000000000001E-2</v>
      </c>
      <c r="F31" s="12">
        <v>200000</v>
      </c>
      <c r="G31" t="s">
        <v>107</v>
      </c>
      <c r="H31" s="266">
        <f>E31*F31</f>
        <v>2900</v>
      </c>
      <c r="I31" s="20">
        <v>8.9999999999999993E-3</v>
      </c>
      <c r="J31" t="s">
        <v>109</v>
      </c>
    </row>
    <row r="32" spans="1:10" x14ac:dyDescent="0.2">
      <c r="A32" s="31" t="s">
        <v>114</v>
      </c>
      <c r="B32" s="3">
        <f>IF($B$21&lt;=F32,$B$21*E32,H32)</f>
        <v>42</v>
      </c>
      <c r="C32" s="2"/>
      <c r="D32" s="3"/>
      <c r="E32" s="20">
        <v>6.0000000000000001E-3</v>
      </c>
      <c r="F32" s="12">
        <v>7000</v>
      </c>
      <c r="G32" t="s">
        <v>107</v>
      </c>
      <c r="H32" s="266">
        <f>E32*F32</f>
        <v>42</v>
      </c>
    </row>
    <row r="33" spans="1:8" x14ac:dyDescent="0.2">
      <c r="A33" s="31" t="s">
        <v>115</v>
      </c>
      <c r="B33" s="3">
        <f>IF($B$21&lt;=F33,$B$21*E33,H33)</f>
        <v>434</v>
      </c>
      <c r="C33" s="2"/>
      <c r="D33" s="3"/>
      <c r="E33" s="8">
        <v>6.2E-2</v>
      </c>
      <c r="F33" s="12">
        <v>7000</v>
      </c>
      <c r="G33" t="s">
        <v>107</v>
      </c>
      <c r="H33" s="266">
        <f t="shared" ref="H33:H34" si="0">E33*F33</f>
        <v>434</v>
      </c>
    </row>
    <row r="34" spans="1:8" x14ac:dyDescent="0.2">
      <c r="A34" s="31" t="s">
        <v>116</v>
      </c>
      <c r="B34" s="3">
        <f>IF($B$21&lt;=F34,$B$21*E34,H34)</f>
        <v>7</v>
      </c>
      <c r="C34" s="2">
        <f>SUM(B30:B34)</f>
        <v>40978.647254707641</v>
      </c>
      <c r="D34" s="3"/>
      <c r="E34" s="20">
        <v>1E-3</v>
      </c>
      <c r="F34" s="12">
        <v>7000</v>
      </c>
      <c r="G34" t="s">
        <v>107</v>
      </c>
      <c r="H34" s="266">
        <f t="shared" si="0"/>
        <v>7</v>
      </c>
    </row>
    <row r="35" spans="1:8" s="1" customFormat="1" x14ac:dyDescent="0.2">
      <c r="A35" s="25" t="s">
        <v>117</v>
      </c>
      <c r="B35" s="30">
        <f>SUM(B30:B34)</f>
        <v>40978.647254707641</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37">
        <f>B1</f>
        <v>3344000.0000000009</v>
      </c>
      <c r="C39" s="38">
        <f>SUM(C1:C36)</f>
        <v>3344000.0000000014</v>
      </c>
      <c r="D39" s="90">
        <f>B39-C39</f>
        <v>0</v>
      </c>
      <c r="E39" s="27"/>
    </row>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alanceDebit">
                <anchor moveWithCells="1" sizeWithCells="1">
                  <from>
                    <xdr:col>3</xdr:col>
                    <xdr:colOff>1193800</xdr:colOff>
                    <xdr:row>37</xdr:row>
                    <xdr:rowOff>12700</xdr:rowOff>
                  </from>
                  <to>
                    <xdr:col>5</xdr:col>
                    <xdr:colOff>660400</xdr:colOff>
                    <xdr:row>38</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98FB6-338D-C947-82F3-9E1E23177D64}">
  <sheetPr codeName="Sheet6"/>
  <dimension ref="A1:J39"/>
  <sheetViews>
    <sheetView zoomScale="125" zoomScaleNormal="125" workbookViewId="0">
      <selection activeCell="G45" sqref="G45"/>
    </sheetView>
  </sheetViews>
  <sheetFormatPr baseColWidth="10" defaultColWidth="11" defaultRowHeight="16" x14ac:dyDescent="0.2"/>
  <cols>
    <col min="1" max="1" width="46" bestFit="1" customWidth="1"/>
    <col min="2" max="2" width="13" bestFit="1" customWidth="1"/>
    <col min="3" max="3" width="18.6640625" bestFit="1" customWidth="1"/>
    <col min="4" max="4" width="15.83203125" bestFit="1" customWidth="1"/>
    <col min="5" max="5" width="7.1640625" bestFit="1" customWidth="1"/>
    <col min="6" max="6" width="13" bestFit="1" customWidth="1"/>
  </cols>
  <sheetData>
    <row r="1" spans="1:5" s="23" customFormat="1" x14ac:dyDescent="0.2">
      <c r="A1" s="47" t="s">
        <v>123</v>
      </c>
      <c r="B1" s="46">
        <f>'Branch example'!W4</f>
        <v>4224000.0000000009</v>
      </c>
      <c r="D1" s="157" t="s">
        <v>163</v>
      </c>
      <c r="E1" s="158">
        <f>'Branch example'!W6</f>
        <v>160.00000000000003</v>
      </c>
    </row>
    <row r="2" spans="1:5" s="50" customFormat="1" x14ac:dyDescent="0.2"/>
    <row r="3" spans="1:5" x14ac:dyDescent="0.2">
      <c r="A3" s="48" t="s">
        <v>90</v>
      </c>
      <c r="B3" s="14"/>
      <c r="C3" s="2"/>
    </row>
    <row r="4" spans="1:5" x14ac:dyDescent="0.2">
      <c r="A4" s="48"/>
      <c r="B4" s="14"/>
      <c r="C4" s="2"/>
    </row>
    <row r="5" spans="1:5" x14ac:dyDescent="0.2">
      <c r="A5" s="48" t="s">
        <v>124</v>
      </c>
      <c r="B5" s="14"/>
      <c r="C5" s="2"/>
    </row>
    <row r="6" spans="1:5" x14ac:dyDescent="0.2">
      <c r="A6" s="22" t="s">
        <v>125</v>
      </c>
      <c r="B6" s="14">
        <v>104000</v>
      </c>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126</v>
      </c>
      <c r="B12" s="49">
        <v>300</v>
      </c>
      <c r="C12" s="2"/>
    </row>
    <row r="13" spans="1:5" x14ac:dyDescent="0.2">
      <c r="A13" s="48" t="s">
        <v>97</v>
      </c>
      <c r="C13" s="2"/>
    </row>
    <row r="14" spans="1:5" x14ac:dyDescent="0.2">
      <c r="A14" s="22" t="s">
        <v>98</v>
      </c>
      <c r="B14" s="14">
        <f>12*197</f>
        <v>2364</v>
      </c>
      <c r="C14" s="2"/>
    </row>
    <row r="15" spans="1:5" x14ac:dyDescent="0.2">
      <c r="A15" s="22" t="s">
        <v>99</v>
      </c>
      <c r="B15" s="14">
        <f>12*600</f>
        <v>7200</v>
      </c>
      <c r="C15" s="2"/>
    </row>
    <row r="16" spans="1:5" x14ac:dyDescent="0.2">
      <c r="A16" s="22" t="s">
        <v>100</v>
      </c>
      <c r="B16" s="14">
        <f>12*600</f>
        <v>7200</v>
      </c>
      <c r="C16" s="2">
        <f>SUM(B6:B16)</f>
        <v>124793.88</v>
      </c>
      <c r="D16" s="3"/>
    </row>
    <row r="17" spans="1:10" x14ac:dyDescent="0.2">
      <c r="A17" s="15" t="s">
        <v>101</v>
      </c>
      <c r="B17" s="16">
        <f>SUM(B6:B16)</f>
        <v>124793.88</v>
      </c>
      <c r="C17" s="2"/>
      <c r="D17" s="3"/>
    </row>
    <row r="18" spans="1:10" x14ac:dyDescent="0.2">
      <c r="C18" s="2"/>
    </row>
    <row r="19" spans="1:10" s="1" customFormat="1" x14ac:dyDescent="0.2">
      <c r="A19" s="29" t="s">
        <v>102</v>
      </c>
      <c r="B19" s="28">
        <f>B1-B17</f>
        <v>4099206.120000001</v>
      </c>
      <c r="C19" s="33"/>
      <c r="D19" s="4"/>
    </row>
    <row r="20" spans="1:10" x14ac:dyDescent="0.2">
      <c r="C20" s="2"/>
      <c r="E20" s="8"/>
      <c r="F20" s="21"/>
    </row>
    <row r="21" spans="1:10" s="1" customFormat="1" x14ac:dyDescent="0.2">
      <c r="A21" s="25" t="s">
        <v>103</v>
      </c>
      <c r="B21" s="28">
        <f>B19*E21</f>
        <v>4050713.4985133805</v>
      </c>
      <c r="C21" s="33">
        <f>B21</f>
        <v>4050713.4985133805</v>
      </c>
      <c r="D21" s="4"/>
      <c r="E21" s="97">
        <v>0.98817024075710047</v>
      </c>
      <c r="F21" s="28">
        <f>B21/12</f>
        <v>337559.45820944838</v>
      </c>
      <c r="G21" s="32" t="s">
        <v>104</v>
      </c>
    </row>
    <row r="22" spans="1:10" x14ac:dyDescent="0.2">
      <c r="A22" t="s">
        <v>105</v>
      </c>
      <c r="B22" s="3"/>
      <c r="C22" s="2"/>
      <c r="D22" s="3"/>
    </row>
    <row r="23" spans="1:10" x14ac:dyDescent="0.2">
      <c r="A23" s="31" t="s">
        <v>106</v>
      </c>
      <c r="B23" s="3">
        <f>IF($B$21&lt;=F23,$B$21*E23,H23)</f>
        <v>10453.200000000001</v>
      </c>
      <c r="C23" s="2"/>
      <c r="D23" s="3"/>
      <c r="E23" s="9">
        <v>6.2E-2</v>
      </c>
      <c r="F23" s="12">
        <v>168600</v>
      </c>
      <c r="G23" t="s">
        <v>107</v>
      </c>
      <c r="H23" s="12">
        <f>E23*F23</f>
        <v>10453.200000000001</v>
      </c>
    </row>
    <row r="24" spans="1:10" x14ac:dyDescent="0.2">
      <c r="A24" s="31" t="s">
        <v>108</v>
      </c>
      <c r="B24" s="3">
        <f>IF($B$21&lt;=F24,$B$21*E24,H24+$I$24*($B$21-$F$24))</f>
        <v>37556.42148662042</v>
      </c>
      <c r="C24" s="2"/>
      <c r="D24" s="3"/>
      <c r="E24" s="8">
        <v>1.4500000000000001E-2</v>
      </c>
      <c r="F24" s="12">
        <v>200000</v>
      </c>
      <c r="G24" t="s">
        <v>107</v>
      </c>
      <c r="H24" s="12">
        <f>E24*F24</f>
        <v>2900</v>
      </c>
      <c r="I24" s="20">
        <v>8.9999999999999993E-3</v>
      </c>
      <c r="J24" t="s">
        <v>109</v>
      </c>
    </row>
    <row r="25" spans="1:10" x14ac:dyDescent="0.2">
      <c r="A25" s="31" t="s">
        <v>110</v>
      </c>
      <c r="B25" s="3">
        <f>$B$21*E25</f>
        <v>44557.848483647183</v>
      </c>
      <c r="C25" s="2"/>
      <c r="D25" s="3"/>
      <c r="E25" s="20">
        <v>1.0999999999999999E-2</v>
      </c>
      <c r="F25" t="s">
        <v>109</v>
      </c>
    </row>
    <row r="26" spans="1:10" ht="17" thickBot="1" x14ac:dyDescent="0.25">
      <c r="A26" t="s">
        <v>111</v>
      </c>
      <c r="B26" s="19">
        <f>SUM(B23:B25)</f>
        <v>92567.469970267615</v>
      </c>
      <c r="C26" s="44"/>
      <c r="D26" s="3"/>
    </row>
    <row r="27" spans="1:10" s="1" customFormat="1" ht="17" thickTop="1" x14ac:dyDescent="0.2">
      <c r="A27" s="25" t="s">
        <v>112</v>
      </c>
      <c r="B27" s="28">
        <f>B21-B26</f>
        <v>3958146.0285431128</v>
      </c>
      <c r="D27" s="28"/>
      <c r="F27" s="28">
        <f>B27/12</f>
        <v>329845.50237859273</v>
      </c>
      <c r="G27" s="32" t="s">
        <v>104</v>
      </c>
    </row>
    <row r="28" spans="1:10" x14ac:dyDescent="0.2">
      <c r="A28" s="17"/>
      <c r="B28" s="18"/>
      <c r="C28" s="34"/>
      <c r="D28" s="18"/>
    </row>
    <row r="29" spans="1:10" x14ac:dyDescent="0.2">
      <c r="A29" s="17" t="s">
        <v>113</v>
      </c>
      <c r="C29" s="2"/>
    </row>
    <row r="30" spans="1:10" x14ac:dyDescent="0.2">
      <c r="A30" s="31" t="s">
        <v>106</v>
      </c>
      <c r="B30" s="3">
        <f>B23</f>
        <v>10453.200000000001</v>
      </c>
      <c r="C30" s="2"/>
      <c r="D30" s="3"/>
      <c r="E30" s="9">
        <v>6.2E-2</v>
      </c>
      <c r="F30" s="12">
        <v>168600</v>
      </c>
      <c r="G30" t="s">
        <v>107</v>
      </c>
      <c r="H30" s="266">
        <f>E30*F30</f>
        <v>10453.200000000001</v>
      </c>
    </row>
    <row r="31" spans="1:10" x14ac:dyDescent="0.2">
      <c r="A31" s="31" t="s">
        <v>108</v>
      </c>
      <c r="B31" s="3">
        <f>B24</f>
        <v>37556.42148662042</v>
      </c>
      <c r="C31" s="2"/>
      <c r="D31" s="3"/>
      <c r="E31" s="8">
        <v>1.4500000000000001E-2</v>
      </c>
      <c r="F31" s="12">
        <v>200000</v>
      </c>
      <c r="G31" t="s">
        <v>107</v>
      </c>
      <c r="H31" s="266">
        <f>E31*F31</f>
        <v>2900</v>
      </c>
      <c r="I31" s="20">
        <v>8.9999999999999993E-3</v>
      </c>
      <c r="J31" t="s">
        <v>109</v>
      </c>
    </row>
    <row r="32" spans="1:10" x14ac:dyDescent="0.2">
      <c r="A32" s="31" t="s">
        <v>114</v>
      </c>
      <c r="B32" s="3">
        <f>IF($B$21&lt;=F32,$B$21*E32,H32)</f>
        <v>42</v>
      </c>
      <c r="C32" s="2"/>
      <c r="D32" s="3"/>
      <c r="E32" s="20">
        <v>6.0000000000000001E-3</v>
      </c>
      <c r="F32" s="12">
        <v>7000</v>
      </c>
      <c r="G32" t="s">
        <v>107</v>
      </c>
      <c r="H32" s="266">
        <f>E32*F32</f>
        <v>42</v>
      </c>
    </row>
    <row r="33" spans="1:8" x14ac:dyDescent="0.2">
      <c r="A33" s="31" t="s">
        <v>115</v>
      </c>
      <c r="B33" s="3">
        <f>IF($B$21&lt;=F33,$B$21*E33,H33)</f>
        <v>434</v>
      </c>
      <c r="C33" s="2"/>
      <c r="D33" s="3"/>
      <c r="E33" s="8">
        <v>6.2E-2</v>
      </c>
      <c r="F33" s="12">
        <v>7000</v>
      </c>
      <c r="G33" t="s">
        <v>107</v>
      </c>
      <c r="H33" s="266">
        <f t="shared" ref="H33:H34" si="0">E33*F33</f>
        <v>434</v>
      </c>
    </row>
    <row r="34" spans="1:8" x14ac:dyDescent="0.2">
      <c r="A34" s="31" t="s">
        <v>116</v>
      </c>
      <c r="B34" s="3">
        <f>IF($B$21&lt;=F34,$B$21*E34,H34)</f>
        <v>7</v>
      </c>
      <c r="C34" s="2">
        <f>SUM(B30:B34)</f>
        <v>48492.621486620425</v>
      </c>
      <c r="D34" s="3"/>
      <c r="E34" s="20">
        <v>1E-3</v>
      </c>
      <c r="F34" s="12">
        <v>7000</v>
      </c>
      <c r="G34" t="s">
        <v>107</v>
      </c>
      <c r="H34" s="266">
        <f t="shared" si="0"/>
        <v>7</v>
      </c>
    </row>
    <row r="35" spans="1:8" s="1" customFormat="1" x14ac:dyDescent="0.2">
      <c r="A35" s="25" t="s">
        <v>117</v>
      </c>
      <c r="B35" s="30">
        <f>SUM(B30:B34)</f>
        <v>48492.621486620425</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37">
        <f>B1</f>
        <v>4224000.0000000009</v>
      </c>
      <c r="C39" s="38">
        <f>SUM(C1:C36)</f>
        <v>4224000.0000000009</v>
      </c>
      <c r="D39" s="90">
        <f>B39-C39</f>
        <v>0</v>
      </c>
      <c r="E39" s="27"/>
    </row>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alanceDebit">
                <anchor moveWithCells="1" sizeWithCells="1">
                  <from>
                    <xdr:col>4</xdr:col>
                    <xdr:colOff>25400</xdr:colOff>
                    <xdr:row>37</xdr:row>
                    <xdr:rowOff>12700</xdr:rowOff>
                  </from>
                  <to>
                    <xdr:col>6</xdr:col>
                    <xdr:colOff>25400</xdr:colOff>
                    <xdr:row>38</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3F52D-B370-3C4D-A9D0-184180EE6303}">
  <sheetPr codeName="Sheet12"/>
  <dimension ref="A1:J39"/>
  <sheetViews>
    <sheetView zoomScale="114" zoomScaleNormal="114" workbookViewId="0">
      <selection activeCell="A8" sqref="A8:XFD8"/>
    </sheetView>
  </sheetViews>
  <sheetFormatPr baseColWidth="10" defaultColWidth="11" defaultRowHeight="16" x14ac:dyDescent="0.2"/>
  <cols>
    <col min="1" max="1" width="46" bestFit="1" customWidth="1"/>
    <col min="2" max="2" width="13" bestFit="1" customWidth="1"/>
    <col min="3" max="3" width="18.6640625" bestFit="1" customWidth="1"/>
    <col min="4" max="4" width="15.83203125" bestFit="1" customWidth="1"/>
    <col min="5" max="5" width="7.1640625" bestFit="1" customWidth="1"/>
    <col min="6" max="6" width="13" bestFit="1" customWidth="1"/>
    <col min="8" max="8" width="12.33203125" bestFit="1" customWidth="1"/>
  </cols>
  <sheetData>
    <row r="1" spans="1:5" s="23" customFormat="1" x14ac:dyDescent="0.2">
      <c r="A1" s="47" t="s">
        <v>123</v>
      </c>
      <c r="B1" s="46">
        <f>'Branch example'!X4</f>
        <v>5104000.0000000019</v>
      </c>
      <c r="D1" s="157" t="s">
        <v>163</v>
      </c>
      <c r="E1" s="158">
        <f>'Branch example'!X6</f>
        <v>192.00000000000006</v>
      </c>
    </row>
    <row r="2" spans="1:5" s="50" customFormat="1" x14ac:dyDescent="0.2"/>
    <row r="3" spans="1:5" x14ac:dyDescent="0.2">
      <c r="A3" s="48" t="s">
        <v>90</v>
      </c>
      <c r="B3" s="14"/>
      <c r="C3" s="2"/>
    </row>
    <row r="4" spans="1:5" x14ac:dyDescent="0.2">
      <c r="A4" s="48"/>
      <c r="B4" s="14"/>
      <c r="C4" s="2"/>
    </row>
    <row r="5" spans="1:5" x14ac:dyDescent="0.2">
      <c r="A5" s="48" t="s">
        <v>124</v>
      </c>
      <c r="B5" s="14"/>
      <c r="C5" s="2"/>
    </row>
    <row r="6" spans="1:5" x14ac:dyDescent="0.2">
      <c r="A6" s="22" t="s">
        <v>125</v>
      </c>
      <c r="B6" s="14">
        <v>104000</v>
      </c>
      <c r="C6" s="2"/>
    </row>
    <row r="7" spans="1:5" x14ac:dyDescent="0.2">
      <c r="A7" s="48" t="s">
        <v>91</v>
      </c>
      <c r="B7" s="14"/>
      <c r="C7" s="2"/>
    </row>
    <row r="8" spans="1:5" x14ac:dyDescent="0.2">
      <c r="A8" s="22" t="s">
        <v>92</v>
      </c>
      <c r="B8" s="14">
        <f>12*299.99</f>
        <v>3599.88</v>
      </c>
      <c r="C8" s="2"/>
    </row>
    <row r="9" spans="1:5" x14ac:dyDescent="0.2">
      <c r="A9" s="22" t="s">
        <v>93</v>
      </c>
      <c r="B9" s="14">
        <v>100</v>
      </c>
      <c r="C9" s="2"/>
    </row>
    <row r="10" spans="1:5" x14ac:dyDescent="0.2">
      <c r="A10" s="48" t="s">
        <v>94</v>
      </c>
      <c r="B10" s="14"/>
      <c r="C10" s="2"/>
    </row>
    <row r="11" spans="1:5" x14ac:dyDescent="0.2">
      <c r="A11" s="22" t="s">
        <v>95</v>
      </c>
      <c r="B11" s="49">
        <v>30</v>
      </c>
      <c r="C11" s="2"/>
    </row>
    <row r="12" spans="1:5" x14ac:dyDescent="0.2">
      <c r="A12" s="22" t="s">
        <v>126</v>
      </c>
      <c r="B12" s="49">
        <v>300</v>
      </c>
      <c r="C12" s="2"/>
    </row>
    <row r="13" spans="1:5" x14ac:dyDescent="0.2">
      <c r="A13" s="48" t="s">
        <v>97</v>
      </c>
      <c r="C13" s="2"/>
    </row>
    <row r="14" spans="1:5" x14ac:dyDescent="0.2">
      <c r="A14" s="22" t="s">
        <v>98</v>
      </c>
      <c r="B14" s="14">
        <f>12*197</f>
        <v>2364</v>
      </c>
      <c r="C14" s="2"/>
    </row>
    <row r="15" spans="1:5" x14ac:dyDescent="0.2">
      <c r="A15" s="22" t="s">
        <v>99</v>
      </c>
      <c r="B15" s="14">
        <f>12*600</f>
        <v>7200</v>
      </c>
      <c r="C15" s="2"/>
    </row>
    <row r="16" spans="1:5" x14ac:dyDescent="0.2">
      <c r="A16" s="22" t="s">
        <v>100</v>
      </c>
      <c r="B16" s="14">
        <f>12*600</f>
        <v>7200</v>
      </c>
      <c r="C16" s="2">
        <f>SUM(B6:B16)</f>
        <v>124793.88</v>
      </c>
      <c r="D16" s="3"/>
    </row>
    <row r="17" spans="1:10" x14ac:dyDescent="0.2">
      <c r="A17" s="15" t="s">
        <v>101</v>
      </c>
      <c r="B17" s="16">
        <f>SUM(B6:B16)</f>
        <v>124793.88</v>
      </c>
      <c r="C17" s="2"/>
      <c r="D17" s="3"/>
    </row>
    <row r="18" spans="1:10" x14ac:dyDescent="0.2">
      <c r="C18" s="2"/>
    </row>
    <row r="19" spans="1:10" s="1" customFormat="1" x14ac:dyDescent="0.2">
      <c r="A19" s="29" t="s">
        <v>102</v>
      </c>
      <c r="B19" s="28">
        <f>B1-B17</f>
        <v>4979206.120000002</v>
      </c>
      <c r="C19" s="33"/>
      <c r="D19" s="4"/>
    </row>
    <row r="20" spans="1:10" x14ac:dyDescent="0.2">
      <c r="C20" s="2"/>
      <c r="E20" s="8"/>
      <c r="F20" s="21"/>
    </row>
    <row r="21" spans="1:10" s="1" customFormat="1" x14ac:dyDescent="0.2">
      <c r="A21" s="25" t="s">
        <v>103</v>
      </c>
      <c r="B21" s="28">
        <f>B19*E21</f>
        <v>4922864.1427155621</v>
      </c>
      <c r="C21" s="33">
        <f>B21</f>
        <v>4922864.1427155621</v>
      </c>
      <c r="D21" s="4"/>
      <c r="E21" s="97">
        <v>0.98868454610502443</v>
      </c>
      <c r="F21" s="28">
        <f>B21/12</f>
        <v>410238.67855963018</v>
      </c>
      <c r="G21" s="32" t="s">
        <v>104</v>
      </c>
    </row>
    <row r="22" spans="1:10" x14ac:dyDescent="0.2">
      <c r="A22" t="s">
        <v>105</v>
      </c>
      <c r="B22" s="3"/>
      <c r="C22" s="2"/>
      <c r="D22" s="3"/>
    </row>
    <row r="23" spans="1:10" x14ac:dyDescent="0.2">
      <c r="A23" s="31" t="s">
        <v>106</v>
      </c>
      <c r="B23" s="3">
        <f>IF($B$21&lt;=F23,$B$21*E23,H23)</f>
        <v>10453.200000000001</v>
      </c>
      <c r="C23" s="2"/>
      <c r="D23" s="3"/>
      <c r="E23" s="9">
        <v>6.2E-2</v>
      </c>
      <c r="F23" s="12">
        <v>168600</v>
      </c>
      <c r="G23" t="s">
        <v>107</v>
      </c>
      <c r="H23" s="12">
        <f>E23*F23</f>
        <v>10453.200000000001</v>
      </c>
    </row>
    <row r="24" spans="1:10" x14ac:dyDescent="0.2">
      <c r="A24" s="31" t="s">
        <v>108</v>
      </c>
      <c r="B24" s="3">
        <f>IF($B$21&lt;=F24,$B$21*E24,H24+$I$24*($B$21-$F$24))</f>
        <v>45405.777284440053</v>
      </c>
      <c r="C24" s="2"/>
      <c r="D24" s="3"/>
      <c r="E24" s="8">
        <v>1.4500000000000001E-2</v>
      </c>
      <c r="F24" s="12">
        <v>200000</v>
      </c>
      <c r="G24" t="s">
        <v>107</v>
      </c>
      <c r="H24" s="12">
        <f>E24*F24</f>
        <v>2900</v>
      </c>
      <c r="I24" s="20">
        <v>8.9999999999999993E-3</v>
      </c>
      <c r="J24" t="s">
        <v>109</v>
      </c>
    </row>
    <row r="25" spans="1:10" x14ac:dyDescent="0.2">
      <c r="A25" s="31" t="s">
        <v>110</v>
      </c>
      <c r="B25" s="3">
        <f>$B$21*E25</f>
        <v>54151.50556987118</v>
      </c>
      <c r="C25" s="2"/>
      <c r="D25" s="3"/>
      <c r="E25" s="20">
        <v>1.0999999999999999E-2</v>
      </c>
      <c r="F25" t="s">
        <v>109</v>
      </c>
    </row>
    <row r="26" spans="1:10" ht="17" thickBot="1" x14ac:dyDescent="0.25">
      <c r="A26" t="s">
        <v>111</v>
      </c>
      <c r="B26" s="19">
        <f>SUM(B23:B25)</f>
        <v>110010.48285431124</v>
      </c>
      <c r="C26" s="44"/>
      <c r="D26" s="3"/>
    </row>
    <row r="27" spans="1:10" s="1" customFormat="1" ht="17" thickTop="1" x14ac:dyDescent="0.2">
      <c r="A27" s="25" t="s">
        <v>112</v>
      </c>
      <c r="B27" s="28">
        <f>B21-B26</f>
        <v>4812853.6598612508</v>
      </c>
      <c r="D27" s="28"/>
      <c r="F27" s="28">
        <f>B27/12</f>
        <v>401071.13832177088</v>
      </c>
      <c r="G27" s="32" t="s">
        <v>104</v>
      </c>
    </row>
    <row r="28" spans="1:10" x14ac:dyDescent="0.2">
      <c r="A28" s="17"/>
      <c r="B28" s="18"/>
      <c r="C28" s="34"/>
      <c r="D28" s="18"/>
    </row>
    <row r="29" spans="1:10" x14ac:dyDescent="0.2">
      <c r="A29" s="17" t="s">
        <v>113</v>
      </c>
      <c r="C29" s="2"/>
    </row>
    <row r="30" spans="1:10" x14ac:dyDescent="0.2">
      <c r="A30" s="31" t="s">
        <v>106</v>
      </c>
      <c r="B30" s="3">
        <f>B23</f>
        <v>10453.200000000001</v>
      </c>
      <c r="C30" s="2"/>
      <c r="D30" s="3"/>
      <c r="E30" s="9">
        <v>6.2E-2</v>
      </c>
      <c r="F30" s="12">
        <v>168600</v>
      </c>
      <c r="G30" t="s">
        <v>107</v>
      </c>
      <c r="H30" s="266">
        <f>E30*F30</f>
        <v>10453.200000000001</v>
      </c>
    </row>
    <row r="31" spans="1:10" x14ac:dyDescent="0.2">
      <c r="A31" s="31" t="s">
        <v>108</v>
      </c>
      <c r="B31" s="3">
        <f>B24</f>
        <v>45405.777284440053</v>
      </c>
      <c r="C31" s="2"/>
      <c r="D31" s="3"/>
      <c r="E31" s="8">
        <v>1.4500000000000001E-2</v>
      </c>
      <c r="F31" s="12">
        <v>200000</v>
      </c>
      <c r="G31" t="s">
        <v>107</v>
      </c>
      <c r="H31" s="266">
        <f>E31*F31</f>
        <v>2900</v>
      </c>
      <c r="I31" s="20">
        <v>8.9999999999999993E-3</v>
      </c>
      <c r="J31" t="s">
        <v>109</v>
      </c>
    </row>
    <row r="32" spans="1:10" x14ac:dyDescent="0.2">
      <c r="A32" s="31" t="s">
        <v>114</v>
      </c>
      <c r="B32" s="3">
        <f>IF($B$21&lt;=F32,$B$21*E32,H32)</f>
        <v>42</v>
      </c>
      <c r="C32" s="2"/>
      <c r="D32" s="3"/>
      <c r="E32" s="20">
        <v>6.0000000000000001E-3</v>
      </c>
      <c r="F32" s="12">
        <v>7000</v>
      </c>
      <c r="G32" t="s">
        <v>107</v>
      </c>
      <c r="H32" s="266">
        <f>E32*F32</f>
        <v>42</v>
      </c>
    </row>
    <row r="33" spans="1:8" x14ac:dyDescent="0.2">
      <c r="A33" s="31" t="s">
        <v>115</v>
      </c>
      <c r="B33" s="3">
        <f>IF($B$21&lt;=F33,$B$21*E33,H33)</f>
        <v>434</v>
      </c>
      <c r="C33" s="2"/>
      <c r="D33" s="3"/>
      <c r="E33" s="8">
        <v>6.2E-2</v>
      </c>
      <c r="F33" s="12">
        <v>7000</v>
      </c>
      <c r="G33" t="s">
        <v>107</v>
      </c>
      <c r="H33" s="266">
        <f t="shared" ref="H33:H34" si="0">E33*F33</f>
        <v>434</v>
      </c>
    </row>
    <row r="34" spans="1:8" x14ac:dyDescent="0.2">
      <c r="A34" s="31" t="s">
        <v>116</v>
      </c>
      <c r="B34" s="3">
        <f>IF($B$21&lt;=F34,$B$21*E34,H34)</f>
        <v>7</v>
      </c>
      <c r="C34" s="2">
        <f>SUM(B30:B34)</f>
        <v>56341.977284440058</v>
      </c>
      <c r="D34" s="3"/>
      <c r="E34" s="20">
        <v>1E-3</v>
      </c>
      <c r="F34" s="12">
        <v>7000</v>
      </c>
      <c r="G34" t="s">
        <v>107</v>
      </c>
      <c r="H34" s="266">
        <f t="shared" si="0"/>
        <v>7</v>
      </c>
    </row>
    <row r="35" spans="1:8" s="1" customFormat="1" x14ac:dyDescent="0.2">
      <c r="A35" s="25" t="s">
        <v>117</v>
      </c>
      <c r="B35" s="30">
        <f>SUM(B30:B34)</f>
        <v>56341.977284440058</v>
      </c>
      <c r="C35" s="27"/>
      <c r="D35" s="26"/>
      <c r="E35" s="27">
        <f>SUM(E30:E34)</f>
        <v>0.14550000000000002</v>
      </c>
    </row>
    <row r="36" spans="1:8" x14ac:dyDescent="0.2">
      <c r="C36" s="2"/>
    </row>
    <row r="37" spans="1:8" x14ac:dyDescent="0.2">
      <c r="C37" s="2"/>
    </row>
    <row r="38" spans="1:8" s="1" customFormat="1" x14ac:dyDescent="0.2">
      <c r="A38" s="11" t="s">
        <v>118</v>
      </c>
      <c r="B38" s="6" t="s">
        <v>119</v>
      </c>
      <c r="C38" s="36" t="s">
        <v>120</v>
      </c>
      <c r="D38" s="6" t="s">
        <v>121</v>
      </c>
    </row>
    <row r="39" spans="1:8" s="1" customFormat="1" x14ac:dyDescent="0.2">
      <c r="A39" s="1" t="s">
        <v>122</v>
      </c>
      <c r="B39" s="37">
        <f>B1</f>
        <v>5104000.0000000019</v>
      </c>
      <c r="C39" s="38">
        <f>SUM(C1:C36)</f>
        <v>5104000.0000000019</v>
      </c>
      <c r="D39" s="90">
        <f>B39-C39</f>
        <v>0</v>
      </c>
      <c r="E39" s="27"/>
    </row>
  </sheetData>
  <sheetProtection sheet="1" objects="1" scenarios="1" select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alanceDebit">
                <anchor moveWithCells="1" sizeWithCells="1">
                  <from>
                    <xdr:col>4</xdr:col>
                    <xdr:colOff>25400</xdr:colOff>
                    <xdr:row>37</xdr:row>
                    <xdr:rowOff>25400</xdr:rowOff>
                  </from>
                  <to>
                    <xdr:col>6</xdr:col>
                    <xdr:colOff>25400</xdr:colOff>
                    <xdr:row>39</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7FE3-281A-A94E-B8AF-09B30343CD88}">
  <sheetPr codeName="Sheet8"/>
  <dimension ref="A2:D22"/>
  <sheetViews>
    <sheetView topLeftCell="A3" zoomScale="216" zoomScaleNormal="216" workbookViewId="0">
      <selection activeCell="B5" sqref="B5"/>
    </sheetView>
  </sheetViews>
  <sheetFormatPr baseColWidth="10" defaultColWidth="11" defaultRowHeight="16" x14ac:dyDescent="0.2"/>
  <cols>
    <col min="1" max="1" width="47.6640625" customWidth="1"/>
    <col min="2" max="2" width="11.6640625" style="5" bestFit="1" customWidth="1"/>
    <col min="3" max="3" width="10.83203125" style="5"/>
  </cols>
  <sheetData>
    <row r="2" spans="1:4" x14ac:dyDescent="0.2">
      <c r="A2" s="17" t="s">
        <v>148</v>
      </c>
    </row>
    <row r="3" spans="1:4" x14ac:dyDescent="0.2">
      <c r="A3" s="17"/>
    </row>
    <row r="4" spans="1:4" x14ac:dyDescent="0.2">
      <c r="A4" s="17" t="s">
        <v>149</v>
      </c>
    </row>
    <row r="5" spans="1:4" x14ac:dyDescent="0.2">
      <c r="A5" s="22" t="s">
        <v>150</v>
      </c>
      <c r="B5" s="135">
        <v>198.93</v>
      </c>
    </row>
    <row r="6" spans="1:4" x14ac:dyDescent="0.2">
      <c r="A6" s="22" t="s">
        <v>151</v>
      </c>
      <c r="B6" s="136">
        <v>300</v>
      </c>
    </row>
    <row r="7" spans="1:4" x14ac:dyDescent="0.2">
      <c r="A7" s="22" t="s">
        <v>152</v>
      </c>
      <c r="B7" s="136">
        <v>30</v>
      </c>
    </row>
    <row r="8" spans="1:4" x14ac:dyDescent="0.2">
      <c r="A8" s="22" t="s">
        <v>219</v>
      </c>
      <c r="B8" s="136">
        <v>39</v>
      </c>
    </row>
    <row r="9" spans="1:4" x14ac:dyDescent="0.2">
      <c r="A9" s="22" t="s">
        <v>153</v>
      </c>
      <c r="B9" s="136">
        <v>15</v>
      </c>
      <c r="C9" s="7">
        <f>SUM(B5:B9)</f>
        <v>582.93000000000006</v>
      </c>
    </row>
    <row r="10" spans="1:4" x14ac:dyDescent="0.2">
      <c r="A10" s="15" t="s">
        <v>154</v>
      </c>
      <c r="B10" s="137">
        <f>SUM(B5:B9)</f>
        <v>582.93000000000006</v>
      </c>
    </row>
    <row r="11" spans="1:4" x14ac:dyDescent="0.2">
      <c r="A11" s="15"/>
      <c r="B11" s="137"/>
    </row>
    <row r="12" spans="1:4" x14ac:dyDescent="0.2">
      <c r="A12" s="22" t="s">
        <v>223</v>
      </c>
      <c r="B12" s="137">
        <v>28</v>
      </c>
    </row>
    <row r="13" spans="1:4" x14ac:dyDescent="0.2">
      <c r="A13" s="22" t="s">
        <v>220</v>
      </c>
      <c r="B13" s="52">
        <v>450</v>
      </c>
      <c r="C13" s="35">
        <f>SUM(B12:B13)</f>
        <v>478</v>
      </c>
      <c r="D13" s="3"/>
    </row>
    <row r="14" spans="1:4" x14ac:dyDescent="0.2">
      <c r="A14" s="15" t="s">
        <v>224</v>
      </c>
      <c r="B14" s="137"/>
      <c r="C14" s="55">
        <f>SUM(C9:C13)</f>
        <v>1060.93</v>
      </c>
      <c r="D14" s="3"/>
    </row>
    <row r="15" spans="1:4" x14ac:dyDescent="0.2">
      <c r="A15" s="15"/>
      <c r="B15" s="137"/>
      <c r="D15" s="3"/>
    </row>
    <row r="16" spans="1:4" x14ac:dyDescent="0.2">
      <c r="A16" s="15" t="s">
        <v>155</v>
      </c>
      <c r="B16" s="137"/>
      <c r="D16" s="3"/>
    </row>
    <row r="17" spans="1:2" x14ac:dyDescent="0.2">
      <c r="A17" s="13" t="s">
        <v>156</v>
      </c>
      <c r="B17" s="136">
        <v>100</v>
      </c>
    </row>
    <row r="18" spans="1:2" x14ac:dyDescent="0.2">
      <c r="A18" s="13" t="s">
        <v>95</v>
      </c>
      <c r="B18" s="136">
        <v>30</v>
      </c>
    </row>
    <row r="19" spans="1:2" x14ac:dyDescent="0.2">
      <c r="A19" s="13" t="s">
        <v>96</v>
      </c>
      <c r="B19" s="136">
        <v>300</v>
      </c>
    </row>
    <row r="20" spans="1:2" x14ac:dyDescent="0.2">
      <c r="A20" s="15" t="s">
        <v>157</v>
      </c>
      <c r="B20" s="137">
        <f>SUM(B17:B19)</f>
        <v>430</v>
      </c>
    </row>
    <row r="21" spans="1:2" x14ac:dyDescent="0.2">
      <c r="A21" s="13"/>
      <c r="B21" s="136"/>
    </row>
    <row r="22" spans="1:2" x14ac:dyDescent="0.2">
      <c r="A22" s="13" t="s">
        <v>158</v>
      </c>
      <c r="B22" s="136">
        <v>100</v>
      </c>
    </row>
  </sheetData>
  <sheetProtection sheet="1" objects="1" scenarios="1" selectLockedCells="1"/>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079B8-495E-264E-BE52-AB313DD9E236}">
  <sheetPr codeName="Sheet15"/>
  <dimension ref="A1:P20"/>
  <sheetViews>
    <sheetView topLeftCell="A3" zoomScale="175" zoomScaleNormal="175" workbookViewId="0">
      <selection activeCell="C18" sqref="C18"/>
    </sheetView>
  </sheetViews>
  <sheetFormatPr baseColWidth="10" defaultColWidth="11" defaultRowHeight="16" x14ac:dyDescent="0.2"/>
  <cols>
    <col min="1" max="1" width="11" style="5"/>
    <col min="2" max="2" width="10" style="5" customWidth="1"/>
    <col min="3" max="3" width="7.5" style="5" customWidth="1"/>
    <col min="4" max="4" width="6.33203125" style="5" bestFit="1" customWidth="1"/>
    <col min="5" max="6" width="8.83203125" style="5" customWidth="1"/>
    <col min="7" max="7" width="11" style="5"/>
    <col min="8" max="8" width="8.6640625" style="5" bestFit="1" customWidth="1"/>
    <col min="9" max="9" width="11" style="5"/>
    <col min="10" max="10" width="11" style="51"/>
    <col min="11" max="11" width="6.6640625" customWidth="1"/>
    <col min="14" max="14" width="11.1640625" style="5" bestFit="1" customWidth="1"/>
    <col min="15" max="15" width="11" style="5" bestFit="1"/>
  </cols>
  <sheetData>
    <row r="1" spans="1:16" x14ac:dyDescent="0.2">
      <c r="A1"/>
      <c r="J1" s="5"/>
      <c r="K1" s="51"/>
      <c r="N1"/>
      <c r="P1" s="5"/>
    </row>
    <row r="2" spans="1:16" x14ac:dyDescent="0.2">
      <c r="A2"/>
      <c r="B2" s="50" t="s">
        <v>166</v>
      </c>
      <c r="J2" s="5"/>
      <c r="K2" s="51"/>
      <c r="N2"/>
      <c r="P2" s="5"/>
    </row>
    <row r="3" spans="1:16" x14ac:dyDescent="0.2">
      <c r="A3"/>
      <c r="B3" s="50" t="s">
        <v>167</v>
      </c>
      <c r="C3" s="50"/>
      <c r="D3" s="50"/>
      <c r="E3" s="50"/>
      <c r="F3" s="50"/>
      <c r="J3" s="5"/>
      <c r="K3" s="51"/>
      <c r="N3"/>
      <c r="P3" s="5"/>
    </row>
    <row r="4" spans="1:16" x14ac:dyDescent="0.2">
      <c r="A4"/>
      <c r="B4" s="31" t="s">
        <v>170</v>
      </c>
      <c r="C4" s="50"/>
      <c r="D4" s="50"/>
      <c r="E4" s="50"/>
      <c r="F4" s="50"/>
      <c r="J4" s="5"/>
      <c r="K4" s="51"/>
      <c r="N4"/>
      <c r="P4" s="5"/>
    </row>
    <row r="5" spans="1:16" x14ac:dyDescent="0.2">
      <c r="A5"/>
      <c r="B5" s="31" t="s">
        <v>168</v>
      </c>
      <c r="C5" s="50"/>
      <c r="D5" s="50"/>
      <c r="E5" s="50"/>
      <c r="F5" s="50"/>
      <c r="J5" s="5"/>
      <c r="K5" s="51"/>
      <c r="N5"/>
      <c r="P5" s="5"/>
    </row>
    <row r="6" spans="1:16" x14ac:dyDescent="0.2">
      <c r="A6"/>
      <c r="B6" s="31" t="s">
        <v>229</v>
      </c>
      <c r="C6" s="50"/>
      <c r="D6" s="50"/>
      <c r="E6" s="50"/>
      <c r="F6" s="50"/>
      <c r="G6" s="7"/>
      <c r="J6" s="5"/>
      <c r="K6" s="51"/>
      <c r="N6"/>
      <c r="P6" s="5"/>
    </row>
    <row r="7" spans="1:16" x14ac:dyDescent="0.2">
      <c r="A7"/>
      <c r="J7" s="5"/>
      <c r="K7" s="51"/>
      <c r="N7"/>
      <c r="P7" s="5"/>
    </row>
    <row r="8" spans="1:16" x14ac:dyDescent="0.2">
      <c r="A8" s="23" t="s">
        <v>164</v>
      </c>
      <c r="B8" s="23"/>
      <c r="C8" s="23"/>
      <c r="D8" s="23"/>
      <c r="E8" s="23"/>
      <c r="F8" s="23"/>
      <c r="G8" s="284">
        <f>G9/20%</f>
        <v>880000</v>
      </c>
      <c r="H8" s="284"/>
      <c r="I8" s="41"/>
      <c r="J8" s="58"/>
      <c r="L8" s="53" t="s">
        <v>127</v>
      </c>
      <c r="M8" s="53"/>
      <c r="N8" s="54"/>
      <c r="O8" s="54"/>
    </row>
    <row r="9" spans="1:16" ht="17" thickBot="1" x14ac:dyDescent="0.25">
      <c r="A9" s="23" t="s">
        <v>230</v>
      </c>
      <c r="B9" s="23"/>
      <c r="C9" s="23"/>
      <c r="D9" s="269">
        <f>'Branch example'!N17</f>
        <v>0.19999999999999996</v>
      </c>
      <c r="E9" s="23"/>
      <c r="F9" s="23"/>
      <c r="G9" s="284">
        <f>'Branch example'!R13</f>
        <v>176000</v>
      </c>
      <c r="H9" s="284"/>
      <c r="I9" s="41"/>
      <c r="J9" s="58"/>
      <c r="L9" s="23" t="s">
        <v>128</v>
      </c>
      <c r="M9" s="23"/>
      <c r="N9" s="24"/>
      <c r="O9" s="24"/>
    </row>
    <row r="10" spans="1:16" ht="17" x14ac:dyDescent="0.2">
      <c r="A10" s="89" t="s">
        <v>129</v>
      </c>
      <c r="B10" s="285" t="s">
        <v>130</v>
      </c>
      <c r="C10" s="285"/>
      <c r="D10" s="86" t="s">
        <v>131</v>
      </c>
      <c r="E10" s="285" t="s">
        <v>132</v>
      </c>
      <c r="F10" s="285"/>
      <c r="G10" s="286" t="s">
        <v>133</v>
      </c>
      <c r="H10" s="287"/>
      <c r="I10" s="10" t="s">
        <v>134</v>
      </c>
      <c r="J10" s="57" t="s">
        <v>135</v>
      </c>
      <c r="L10" s="6" t="s">
        <v>129</v>
      </c>
      <c r="M10" s="6" t="s">
        <v>136</v>
      </c>
      <c r="N10" s="6" t="s">
        <v>137</v>
      </c>
      <c r="O10" s="6" t="s">
        <v>138</v>
      </c>
    </row>
    <row r="11" spans="1:16" x14ac:dyDescent="0.2">
      <c r="A11" s="87">
        <v>1</v>
      </c>
      <c r="D11" s="87" t="s">
        <v>139</v>
      </c>
      <c r="E11" s="39"/>
      <c r="F11" s="39"/>
      <c r="G11" s="82">
        <v>3.5000000000000003E-2</v>
      </c>
      <c r="H11" s="83">
        <f t="shared" ref="H11:H17" si="0">$G$8*G11</f>
        <v>30800.000000000004</v>
      </c>
      <c r="I11" s="7">
        <f>$H11/2</f>
        <v>15400.000000000002</v>
      </c>
      <c r="J11" s="55">
        <f>$H11/2</f>
        <v>15400.000000000002</v>
      </c>
      <c r="L11" s="5">
        <v>1</v>
      </c>
      <c r="M11" s="5">
        <v>5</v>
      </c>
      <c r="N11" s="35">
        <f>J11*M11</f>
        <v>77000.000000000015</v>
      </c>
      <c r="O11" s="35">
        <f>N11/2</f>
        <v>38500.000000000007</v>
      </c>
    </row>
    <row r="12" spans="1:16" x14ac:dyDescent="0.2">
      <c r="A12" s="87">
        <v>2</v>
      </c>
      <c r="B12" s="40">
        <v>2E-3</v>
      </c>
      <c r="C12" s="35">
        <f t="shared" ref="C12:C17" si="1">$G$8*B12</f>
        <v>1760</v>
      </c>
      <c r="D12" s="87" t="s">
        <v>140</v>
      </c>
      <c r="E12" s="39">
        <f t="shared" ref="E12:E17" si="2">G12-B12</f>
        <v>3.7999999999999999E-2</v>
      </c>
      <c r="F12" s="35">
        <f t="shared" ref="F12:F17" si="3">$G$8*E12</f>
        <v>33440</v>
      </c>
      <c r="G12" s="82">
        <v>0.04</v>
      </c>
      <c r="H12" s="83">
        <f t="shared" si="0"/>
        <v>35200</v>
      </c>
      <c r="I12" s="7">
        <f t="shared" ref="I12:J17" si="4">$H12/2</f>
        <v>17600</v>
      </c>
      <c r="J12" s="55">
        <f t="shared" si="4"/>
        <v>17600</v>
      </c>
      <c r="L12" s="5">
        <v>2</v>
      </c>
      <c r="M12" s="5">
        <v>25</v>
      </c>
      <c r="N12" s="35">
        <f>J12*M12</f>
        <v>440000</v>
      </c>
      <c r="O12" s="35">
        <f>N12/2</f>
        <v>220000</v>
      </c>
    </row>
    <row r="13" spans="1:16" x14ac:dyDescent="0.2">
      <c r="A13" s="87">
        <v>3</v>
      </c>
      <c r="B13" s="40">
        <v>1E-3</v>
      </c>
      <c r="C13" s="35">
        <f t="shared" si="1"/>
        <v>880</v>
      </c>
      <c r="D13" s="87" t="s">
        <v>141</v>
      </c>
      <c r="E13" s="39">
        <f t="shared" si="2"/>
        <v>2.4E-2</v>
      </c>
      <c r="F13" s="35">
        <f t="shared" si="3"/>
        <v>21120</v>
      </c>
      <c r="G13" s="82">
        <v>2.5000000000000001E-2</v>
      </c>
      <c r="H13" s="83">
        <f t="shared" si="0"/>
        <v>22000</v>
      </c>
      <c r="I13" s="7">
        <f t="shared" si="4"/>
        <v>11000</v>
      </c>
      <c r="J13" s="55">
        <f t="shared" si="4"/>
        <v>11000</v>
      </c>
      <c r="L13" s="51" t="s">
        <v>117</v>
      </c>
      <c r="M13" s="5"/>
      <c r="N13" s="52">
        <f>SUM(N11:N12)</f>
        <v>517000</v>
      </c>
      <c r="O13" s="52">
        <f>N13/2</f>
        <v>258500</v>
      </c>
    </row>
    <row r="14" spans="1:16" x14ac:dyDescent="0.2">
      <c r="A14" s="87">
        <v>4</v>
      </c>
      <c r="B14" s="40">
        <v>1E-3</v>
      </c>
      <c r="C14" s="35">
        <f t="shared" si="1"/>
        <v>880</v>
      </c>
      <c r="D14" s="87" t="s">
        <v>142</v>
      </c>
      <c r="E14" s="39">
        <f t="shared" si="2"/>
        <v>1.3999999999999999E-2</v>
      </c>
      <c r="F14" s="35">
        <f t="shared" si="3"/>
        <v>12319.999999999998</v>
      </c>
      <c r="G14" s="82">
        <v>1.4999999999999999E-2</v>
      </c>
      <c r="H14" s="83">
        <f t="shared" si="0"/>
        <v>13200</v>
      </c>
      <c r="I14" s="7">
        <f t="shared" si="4"/>
        <v>6600</v>
      </c>
      <c r="J14" s="55">
        <f t="shared" si="4"/>
        <v>6600</v>
      </c>
      <c r="L14" s="5"/>
      <c r="N14" s="35"/>
      <c r="O14" s="35"/>
    </row>
    <row r="15" spans="1:16" x14ac:dyDescent="0.2">
      <c r="A15" s="87">
        <v>5</v>
      </c>
      <c r="B15" s="40">
        <v>1E-3</v>
      </c>
      <c r="C15" s="35">
        <f t="shared" si="1"/>
        <v>880</v>
      </c>
      <c r="D15" s="87" t="s">
        <v>143</v>
      </c>
      <c r="E15" s="39">
        <f t="shared" si="2"/>
        <v>9.0000000000000011E-3</v>
      </c>
      <c r="F15" s="35">
        <f t="shared" si="3"/>
        <v>7920.0000000000009</v>
      </c>
      <c r="G15" s="82">
        <v>0.01</v>
      </c>
      <c r="H15" s="83">
        <f t="shared" si="0"/>
        <v>8800</v>
      </c>
      <c r="I15" s="7">
        <f t="shared" si="4"/>
        <v>4400</v>
      </c>
      <c r="J15" s="55">
        <f t="shared" si="4"/>
        <v>4400</v>
      </c>
      <c r="L15" s="23" t="s">
        <v>144</v>
      </c>
      <c r="M15" s="23"/>
      <c r="N15" s="24"/>
      <c r="O15" s="24"/>
    </row>
    <row r="16" spans="1:16" x14ac:dyDescent="0.2">
      <c r="A16" s="87">
        <v>6</v>
      </c>
      <c r="B16" s="40">
        <v>5.0000000000000001E-3</v>
      </c>
      <c r="C16" s="35">
        <f t="shared" si="1"/>
        <v>4400</v>
      </c>
      <c r="D16" s="87" t="s">
        <v>145</v>
      </c>
      <c r="E16" s="39">
        <f t="shared" si="2"/>
        <v>0.02</v>
      </c>
      <c r="F16" s="35">
        <f t="shared" si="3"/>
        <v>17600</v>
      </c>
      <c r="G16" s="82">
        <v>2.5000000000000001E-2</v>
      </c>
      <c r="H16" s="83">
        <f t="shared" si="0"/>
        <v>22000</v>
      </c>
      <c r="I16" s="7">
        <f t="shared" si="4"/>
        <v>11000</v>
      </c>
      <c r="J16" s="55">
        <f t="shared" si="4"/>
        <v>11000</v>
      </c>
      <c r="L16" s="6" t="s">
        <v>129</v>
      </c>
      <c r="M16" s="6" t="s">
        <v>136</v>
      </c>
      <c r="N16" s="6" t="s">
        <v>137</v>
      </c>
      <c r="O16" s="6" t="s">
        <v>138</v>
      </c>
    </row>
    <row r="17" spans="1:15" ht="17" thickBot="1" x14ac:dyDescent="0.25">
      <c r="A17" s="88">
        <v>7</v>
      </c>
      <c r="B17" s="40">
        <v>5.0000000000000001E-3</v>
      </c>
      <c r="C17" s="35">
        <f t="shared" si="1"/>
        <v>4400</v>
      </c>
      <c r="D17" s="88" t="s">
        <v>146</v>
      </c>
      <c r="E17" s="43">
        <f t="shared" si="2"/>
        <v>4.5000000000000005E-2</v>
      </c>
      <c r="F17" s="35">
        <f t="shared" si="3"/>
        <v>39600.000000000007</v>
      </c>
      <c r="G17" s="84">
        <v>0.05</v>
      </c>
      <c r="H17" s="85">
        <f t="shared" si="0"/>
        <v>44000</v>
      </c>
      <c r="I17" s="7">
        <f t="shared" si="4"/>
        <v>22000</v>
      </c>
      <c r="J17" s="55">
        <f t="shared" si="4"/>
        <v>22000</v>
      </c>
      <c r="L17" s="5">
        <v>1</v>
      </c>
      <c r="M17" s="5">
        <v>20</v>
      </c>
      <c r="N17" s="35">
        <f>J11*M17</f>
        <v>308000.00000000006</v>
      </c>
      <c r="O17" s="35">
        <f>N17/2</f>
        <v>154000.00000000003</v>
      </c>
    </row>
    <row r="18" spans="1:15" x14ac:dyDescent="0.2">
      <c r="C18" s="7"/>
      <c r="F18" s="45"/>
      <c r="G18" s="139">
        <f>SUM(G11:G17)</f>
        <v>0.2</v>
      </c>
      <c r="H18" s="35">
        <f>SUM(H11:H17)</f>
        <v>176000</v>
      </c>
      <c r="I18" s="7"/>
      <c r="J18" s="55"/>
      <c r="L18" s="5">
        <v>2</v>
      </c>
      <c r="M18" s="5">
        <v>100</v>
      </c>
      <c r="N18" s="35">
        <f>J12*M18</f>
        <v>1760000</v>
      </c>
      <c r="O18" s="35">
        <f>N18/2</f>
        <v>880000</v>
      </c>
    </row>
    <row r="19" spans="1:15" x14ac:dyDescent="0.2">
      <c r="L19" s="51" t="s">
        <v>117</v>
      </c>
      <c r="M19" s="5"/>
      <c r="N19" s="52">
        <f>SUM(N17:N18)</f>
        <v>2068000</v>
      </c>
      <c r="O19" s="52">
        <f>N19/2</f>
        <v>1034000</v>
      </c>
    </row>
    <row r="20" spans="1:15" ht="109" customHeight="1" x14ac:dyDescent="0.2">
      <c r="L20" s="283" t="s">
        <v>147</v>
      </c>
      <c r="M20" s="283"/>
      <c r="N20" s="283"/>
      <c r="O20" s="283"/>
    </row>
  </sheetData>
  <sheetProtection selectLockedCells="1"/>
  <mergeCells count="6">
    <mergeCell ref="L20:O20"/>
    <mergeCell ref="G8:H8"/>
    <mergeCell ref="G9:H9"/>
    <mergeCell ref="B10:C10"/>
    <mergeCell ref="E10:F10"/>
    <mergeCell ref="G10:H1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5CBE-1FEE-CB4F-9BFA-9C8D9D51BE09}">
  <sheetPr codeName="Sheet7"/>
  <dimension ref="A1:P24"/>
  <sheetViews>
    <sheetView topLeftCell="E1" zoomScale="177" zoomScaleNormal="177" workbookViewId="0">
      <selection activeCell="B20" sqref="B20"/>
    </sheetView>
  </sheetViews>
  <sheetFormatPr baseColWidth="10" defaultColWidth="11" defaultRowHeight="16" x14ac:dyDescent="0.2"/>
  <cols>
    <col min="1" max="1" width="10.83203125" style="5"/>
    <col min="2" max="2" width="10.6640625" style="5" customWidth="1"/>
    <col min="3" max="3" width="6.6640625" style="5" bestFit="1" customWidth="1"/>
    <col min="4" max="4" width="6.33203125" style="5" bestFit="1" customWidth="1"/>
    <col min="5" max="6" width="8.83203125" style="5" customWidth="1"/>
    <col min="7" max="7" width="10.83203125" style="5"/>
    <col min="8" max="8" width="8.6640625" style="5" bestFit="1" customWidth="1"/>
    <col min="9" max="9" width="17" style="5" customWidth="1"/>
    <col min="10" max="10" width="10.83203125" style="51"/>
    <col min="11" max="11" width="6.6640625" customWidth="1"/>
    <col min="14" max="14" width="12.1640625" style="5" bestFit="1" customWidth="1"/>
    <col min="15" max="15" width="11" style="5" bestFit="1" customWidth="1"/>
  </cols>
  <sheetData>
    <row r="1" spans="1:16" x14ac:dyDescent="0.2">
      <c r="A1"/>
      <c r="J1" s="5"/>
      <c r="K1" s="51"/>
      <c r="N1"/>
      <c r="P1" s="5"/>
    </row>
    <row r="2" spans="1:16" x14ac:dyDescent="0.2">
      <c r="A2"/>
      <c r="B2" s="50" t="s">
        <v>166</v>
      </c>
      <c r="J2" s="5"/>
      <c r="K2" s="51"/>
      <c r="N2"/>
      <c r="P2" s="5"/>
    </row>
    <row r="3" spans="1:16" x14ac:dyDescent="0.2">
      <c r="A3"/>
      <c r="B3" s="50" t="s">
        <v>167</v>
      </c>
      <c r="C3" s="50"/>
      <c r="D3" s="50"/>
      <c r="E3" s="50"/>
      <c r="F3" s="50"/>
      <c r="J3" s="5"/>
      <c r="K3" s="51"/>
      <c r="N3"/>
      <c r="P3" s="5"/>
    </row>
    <row r="4" spans="1:16" x14ac:dyDescent="0.2">
      <c r="A4"/>
      <c r="B4" s="31" t="s">
        <v>222</v>
      </c>
      <c r="C4" s="50"/>
      <c r="D4" s="50"/>
      <c r="E4" s="50"/>
      <c r="F4" s="50"/>
      <c r="J4" s="5"/>
      <c r="K4" s="51"/>
      <c r="N4"/>
      <c r="P4" s="5"/>
    </row>
    <row r="5" spans="1:16" ht="15" customHeight="1" x14ac:dyDescent="0.2">
      <c r="A5"/>
      <c r="B5" s="31" t="s">
        <v>221</v>
      </c>
      <c r="C5" s="50"/>
      <c r="D5" s="50"/>
      <c r="E5" s="50"/>
      <c r="F5" s="50"/>
      <c r="J5" s="5"/>
      <c r="K5" s="51"/>
      <c r="N5"/>
      <c r="P5" s="5"/>
    </row>
    <row r="6" spans="1:16" x14ac:dyDescent="0.2">
      <c r="A6"/>
      <c r="B6" s="31" t="s">
        <v>229</v>
      </c>
      <c r="C6" s="50"/>
      <c r="D6" s="50"/>
      <c r="E6" s="50"/>
      <c r="F6" s="50"/>
      <c r="G6" s="7"/>
      <c r="J6" s="5"/>
      <c r="K6" s="51"/>
      <c r="N6"/>
      <c r="P6" s="5"/>
    </row>
    <row r="7" spans="1:16" x14ac:dyDescent="0.2">
      <c r="A7"/>
      <c r="J7" s="5"/>
      <c r="K7" s="51"/>
      <c r="N7"/>
      <c r="P7" s="5"/>
    </row>
    <row r="8" spans="1:16" x14ac:dyDescent="0.2">
      <c r="A8" s="23" t="s">
        <v>164</v>
      </c>
      <c r="B8" s="23"/>
      <c r="C8" s="23"/>
      <c r="D8" s="23"/>
      <c r="E8" s="23"/>
      <c r="F8" s="23"/>
      <c r="G8" s="284">
        <f>G9/20%</f>
        <v>880000</v>
      </c>
      <c r="H8" s="284"/>
      <c r="I8" s="41"/>
      <c r="J8" s="58"/>
      <c r="L8" s="53" t="s">
        <v>127</v>
      </c>
      <c r="M8" s="53"/>
      <c r="N8" s="54"/>
      <c r="O8" s="54"/>
    </row>
    <row r="9" spans="1:16" ht="17" thickBot="1" x14ac:dyDescent="0.25">
      <c r="A9" s="23" t="s">
        <v>230</v>
      </c>
      <c r="B9" s="23"/>
      <c r="C9" s="23"/>
      <c r="D9" s="269">
        <f>'Branch example'!N17</f>
        <v>0.19999999999999996</v>
      </c>
      <c r="E9" s="23"/>
      <c r="F9" s="23"/>
      <c r="G9" s="284">
        <f>'Branch example'!R2</f>
        <v>176000</v>
      </c>
      <c r="H9" s="284"/>
      <c r="I9" s="41"/>
      <c r="J9" s="58"/>
      <c r="L9" s="23" t="s">
        <v>128</v>
      </c>
      <c r="M9" s="23"/>
      <c r="N9" s="24"/>
      <c r="O9" s="24"/>
    </row>
    <row r="10" spans="1:16" ht="17" x14ac:dyDescent="0.2">
      <c r="A10" s="89" t="s">
        <v>129</v>
      </c>
      <c r="B10" s="285" t="s">
        <v>130</v>
      </c>
      <c r="C10" s="285"/>
      <c r="D10" s="86" t="s">
        <v>131</v>
      </c>
      <c r="E10" s="285" t="s">
        <v>132</v>
      </c>
      <c r="F10" s="285"/>
      <c r="G10" s="286" t="s">
        <v>133</v>
      </c>
      <c r="H10" s="287"/>
      <c r="I10" s="10" t="s">
        <v>134</v>
      </c>
      <c r="J10" s="57" t="s">
        <v>135</v>
      </c>
      <c r="L10" s="6" t="s">
        <v>129</v>
      </c>
      <c r="M10" s="6" t="s">
        <v>136</v>
      </c>
      <c r="N10" s="6" t="s">
        <v>137</v>
      </c>
      <c r="O10" s="6" t="s">
        <v>138</v>
      </c>
    </row>
    <row r="11" spans="1:16" x14ac:dyDescent="0.2">
      <c r="A11" s="87">
        <v>1</v>
      </c>
      <c r="D11" s="87" t="s">
        <v>139</v>
      </c>
      <c r="E11" s="39"/>
      <c r="F11" s="39"/>
      <c r="G11" s="82">
        <v>3.5000000000000003E-2</v>
      </c>
      <c r="H11" s="83">
        <f t="shared" ref="H11:H17" si="0">$G$8*G11</f>
        <v>30800.000000000004</v>
      </c>
      <c r="I11" s="7">
        <f>$H11/2</f>
        <v>15400.000000000002</v>
      </c>
      <c r="J11" s="55">
        <f>$H11/2</f>
        <v>15400.000000000002</v>
      </c>
      <c r="L11" s="5">
        <v>1</v>
      </c>
      <c r="M11" s="5">
        <v>5</v>
      </c>
      <c r="N11" s="35">
        <f>M11*'Revenue Share Capped'!$J11</f>
        <v>77000.000000000015</v>
      </c>
      <c r="O11" s="35">
        <f>N11/2</f>
        <v>38500.000000000007</v>
      </c>
    </row>
    <row r="12" spans="1:16" x14ac:dyDescent="0.2">
      <c r="A12" s="87">
        <v>2</v>
      </c>
      <c r="B12" s="40">
        <v>2E-3</v>
      </c>
      <c r="C12" s="35">
        <f t="shared" ref="C12:C17" si="1">$G$8*B12</f>
        <v>1760</v>
      </c>
      <c r="D12" s="87" t="s">
        <v>140</v>
      </c>
      <c r="E12" s="39">
        <f t="shared" ref="E12:E17" si="2">G12-B12</f>
        <v>3.7999999999999999E-2</v>
      </c>
      <c r="F12" s="35">
        <f t="shared" ref="F12:F17" si="3">$G$8*E12</f>
        <v>33440</v>
      </c>
      <c r="G12" s="82">
        <v>0.04</v>
      </c>
      <c r="H12" s="83">
        <f t="shared" si="0"/>
        <v>35200</v>
      </c>
      <c r="I12" s="7">
        <f t="shared" ref="I12:J17" si="4">$H12/2</f>
        <v>17600</v>
      </c>
      <c r="J12" s="55">
        <f t="shared" si="4"/>
        <v>17600</v>
      </c>
      <c r="L12" s="5">
        <v>2</v>
      </c>
      <c r="M12" s="5">
        <v>25</v>
      </c>
      <c r="N12" s="35">
        <f>M12*'Revenue Share Capped'!$J12</f>
        <v>440000</v>
      </c>
      <c r="O12" s="35">
        <f>N12/2</f>
        <v>220000</v>
      </c>
    </row>
    <row r="13" spans="1:16" x14ac:dyDescent="0.2">
      <c r="A13" s="87">
        <v>3</v>
      </c>
      <c r="B13" s="40">
        <v>1E-3</v>
      </c>
      <c r="C13" s="35">
        <f t="shared" si="1"/>
        <v>880</v>
      </c>
      <c r="D13" s="87" t="s">
        <v>141</v>
      </c>
      <c r="E13" s="39">
        <f t="shared" si="2"/>
        <v>2.4E-2</v>
      </c>
      <c r="F13" s="35">
        <f t="shared" si="3"/>
        <v>21120</v>
      </c>
      <c r="G13" s="82">
        <v>2.5000000000000001E-2</v>
      </c>
      <c r="H13" s="83">
        <f t="shared" si="0"/>
        <v>22000</v>
      </c>
      <c r="I13" s="7">
        <f t="shared" si="4"/>
        <v>11000</v>
      </c>
      <c r="J13" s="55">
        <f t="shared" si="4"/>
        <v>11000</v>
      </c>
      <c r="L13" s="51" t="s">
        <v>117</v>
      </c>
      <c r="M13" s="5"/>
      <c r="N13" s="52">
        <f>SUM(N11:N12)</f>
        <v>517000</v>
      </c>
      <c r="O13" s="52">
        <f>N13/2</f>
        <v>258500</v>
      </c>
    </row>
    <row r="14" spans="1:16" x14ac:dyDescent="0.2">
      <c r="A14" s="87">
        <v>4</v>
      </c>
      <c r="B14" s="40">
        <v>1E-3</v>
      </c>
      <c r="C14" s="35">
        <f t="shared" si="1"/>
        <v>880</v>
      </c>
      <c r="D14" s="87" t="s">
        <v>142</v>
      </c>
      <c r="E14" s="39">
        <f t="shared" si="2"/>
        <v>1.3999999999999999E-2</v>
      </c>
      <c r="F14" s="35">
        <f t="shared" si="3"/>
        <v>12319.999999999998</v>
      </c>
      <c r="G14" s="82">
        <v>1.4999999999999999E-2</v>
      </c>
      <c r="H14" s="83">
        <f t="shared" si="0"/>
        <v>13200</v>
      </c>
      <c r="I14" s="7">
        <f t="shared" si="4"/>
        <v>6600</v>
      </c>
      <c r="J14" s="55">
        <f t="shared" si="4"/>
        <v>6600</v>
      </c>
      <c r="L14" s="5"/>
      <c r="N14" s="35"/>
      <c r="O14" s="35"/>
    </row>
    <row r="15" spans="1:16" x14ac:dyDescent="0.2">
      <c r="A15" s="87">
        <v>5</v>
      </c>
      <c r="B15" s="40">
        <v>1E-3</v>
      </c>
      <c r="C15" s="35">
        <f t="shared" si="1"/>
        <v>880</v>
      </c>
      <c r="D15" s="87" t="s">
        <v>143</v>
      </c>
      <c r="E15" s="39">
        <f t="shared" si="2"/>
        <v>9.0000000000000011E-3</v>
      </c>
      <c r="F15" s="35">
        <f t="shared" si="3"/>
        <v>7920.0000000000009</v>
      </c>
      <c r="G15" s="82">
        <v>0.01</v>
      </c>
      <c r="H15" s="83">
        <f t="shared" si="0"/>
        <v>8800</v>
      </c>
      <c r="I15" s="7">
        <f t="shared" si="4"/>
        <v>4400</v>
      </c>
      <c r="J15" s="55">
        <f t="shared" si="4"/>
        <v>4400</v>
      </c>
      <c r="L15" s="23" t="s">
        <v>144</v>
      </c>
      <c r="M15" s="23"/>
      <c r="N15" s="24"/>
      <c r="O15" s="24"/>
    </row>
    <row r="16" spans="1:16" x14ac:dyDescent="0.2">
      <c r="A16" s="87">
        <v>6</v>
      </c>
      <c r="B16" s="40">
        <v>5.0000000000000001E-3</v>
      </c>
      <c r="C16" s="35">
        <f t="shared" si="1"/>
        <v>4400</v>
      </c>
      <c r="D16" s="87" t="s">
        <v>145</v>
      </c>
      <c r="E16" s="39">
        <f t="shared" si="2"/>
        <v>0.02</v>
      </c>
      <c r="F16" s="35">
        <f t="shared" si="3"/>
        <v>17600</v>
      </c>
      <c r="G16" s="82">
        <v>2.5000000000000001E-2</v>
      </c>
      <c r="H16" s="83">
        <f t="shared" si="0"/>
        <v>22000</v>
      </c>
      <c r="I16" s="7">
        <f t="shared" si="4"/>
        <v>11000</v>
      </c>
      <c r="J16" s="55">
        <f t="shared" si="4"/>
        <v>11000</v>
      </c>
      <c r="L16" s="6" t="s">
        <v>129</v>
      </c>
      <c r="M16" s="6" t="s">
        <v>136</v>
      </c>
      <c r="N16" s="6" t="s">
        <v>137</v>
      </c>
      <c r="O16" s="6" t="s">
        <v>138</v>
      </c>
    </row>
    <row r="17" spans="1:15" ht="17" thickBot="1" x14ac:dyDescent="0.25">
      <c r="A17" s="88">
        <v>7</v>
      </c>
      <c r="B17" s="40">
        <v>5.0000000000000001E-3</v>
      </c>
      <c r="C17" s="35">
        <f t="shared" si="1"/>
        <v>4400</v>
      </c>
      <c r="D17" s="88" t="s">
        <v>146</v>
      </c>
      <c r="E17" s="43">
        <f t="shared" si="2"/>
        <v>4.5000000000000005E-2</v>
      </c>
      <c r="F17" s="35">
        <f t="shared" si="3"/>
        <v>39600.000000000007</v>
      </c>
      <c r="G17" s="84">
        <v>0.05</v>
      </c>
      <c r="H17" s="85">
        <f t="shared" si="0"/>
        <v>44000</v>
      </c>
      <c r="I17" s="7">
        <f t="shared" si="4"/>
        <v>22000</v>
      </c>
      <c r="J17" s="55">
        <f t="shared" si="4"/>
        <v>22000</v>
      </c>
      <c r="L17" s="5">
        <v>1</v>
      </c>
      <c r="M17" s="5">
        <v>20</v>
      </c>
      <c r="N17" s="35">
        <f>M17*'Revenue Share Capped'!$J11</f>
        <v>308000.00000000006</v>
      </c>
      <c r="O17" s="35">
        <f>N17/2</f>
        <v>154000.00000000003</v>
      </c>
    </row>
    <row r="18" spans="1:15" x14ac:dyDescent="0.2">
      <c r="C18" s="7"/>
      <c r="F18" s="45"/>
      <c r="G18" s="139">
        <f>SUM(G11:G17)</f>
        <v>0.2</v>
      </c>
      <c r="H18" s="35">
        <f>SUM(H11:H17)</f>
        <v>176000</v>
      </c>
      <c r="I18" s="7"/>
      <c r="J18" s="55"/>
      <c r="L18" s="5">
        <v>2</v>
      </c>
      <c r="M18" s="5">
        <v>100</v>
      </c>
      <c r="N18" s="35">
        <f>M18*'Revenue Share Capped'!$J12</f>
        <v>1760000</v>
      </c>
      <c r="O18" s="35">
        <f>N18/2</f>
        <v>880000</v>
      </c>
    </row>
    <row r="19" spans="1:15" x14ac:dyDescent="0.2">
      <c r="L19" s="51" t="s">
        <v>117</v>
      </c>
      <c r="M19" s="5"/>
      <c r="N19" s="52">
        <f>SUM(N17:N18)</f>
        <v>2068000</v>
      </c>
      <c r="O19" s="52">
        <f>N19/2</f>
        <v>1034000</v>
      </c>
    </row>
    <row r="20" spans="1:15" x14ac:dyDescent="0.2">
      <c r="L20" s="51"/>
      <c r="M20" s="5"/>
      <c r="N20" s="52"/>
      <c r="O20" s="52"/>
    </row>
    <row r="21" spans="1:15" ht="109" customHeight="1" x14ac:dyDescent="0.2">
      <c r="L21" s="283" t="s">
        <v>147</v>
      </c>
      <c r="M21" s="283"/>
      <c r="N21" s="283"/>
      <c r="O21" s="283"/>
    </row>
    <row r="22" spans="1:15" x14ac:dyDescent="0.2">
      <c r="E22" s="5">
        <v>40</v>
      </c>
    </row>
    <row r="23" spans="1:15" x14ac:dyDescent="0.2">
      <c r="E23" s="5">
        <f>E22^2</f>
        <v>1600</v>
      </c>
    </row>
    <row r="24" spans="1:15" x14ac:dyDescent="0.2">
      <c r="E24" s="5">
        <f t="shared" ref="E24" si="5">E23^2</f>
        <v>2560000</v>
      </c>
    </row>
  </sheetData>
  <sheetProtection selectLockedCells="1"/>
  <mergeCells count="6">
    <mergeCell ref="G8:H8"/>
    <mergeCell ref="L21:O21"/>
    <mergeCell ref="G10:H10"/>
    <mergeCell ref="G9:H9"/>
    <mergeCell ref="B10:C10"/>
    <mergeCell ref="E10:F10"/>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EC89F-87BF-8144-9832-933A28BB6908}">
  <sheetPr codeName="Sheet14"/>
  <dimension ref="A2:YN80"/>
  <sheetViews>
    <sheetView zoomScale="134" zoomScaleNormal="134" workbookViewId="0">
      <selection activeCell="T87" sqref="T87"/>
    </sheetView>
  </sheetViews>
  <sheetFormatPr baseColWidth="10" defaultRowHeight="16" x14ac:dyDescent="0.2"/>
  <cols>
    <col min="22" max="22" width="11.6640625" bestFit="1" customWidth="1"/>
  </cols>
  <sheetData>
    <row r="2" spans="1:664" ht="17" thickBot="1" x14ac:dyDescent="0.25"/>
    <row r="3" spans="1:664" x14ac:dyDescent="0.2">
      <c r="A3" s="195">
        <f ca="1">RAND()*2000000</f>
        <v>1097340.8681236145</v>
      </c>
      <c r="B3" s="233"/>
      <c r="C3" s="249">
        <v>30</v>
      </c>
      <c r="D3" s="250" t="s">
        <v>129</v>
      </c>
      <c r="E3" s="292">
        <v>1</v>
      </c>
      <c r="F3" s="292"/>
      <c r="G3" s="292"/>
      <c r="H3" s="292"/>
      <c r="I3" s="292"/>
      <c r="J3" s="251" t="s">
        <v>211</v>
      </c>
      <c r="K3" s="252"/>
      <c r="L3" s="242"/>
      <c r="M3" s="242"/>
      <c r="N3" s="243"/>
      <c r="P3" s="5"/>
      <c r="V3" s="5"/>
      <c r="AB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row>
    <row r="4" spans="1:664" x14ac:dyDescent="0.2">
      <c r="C4" s="244"/>
      <c r="D4">
        <v>1</v>
      </c>
      <c r="E4" s="290">
        <v>706248</v>
      </c>
      <c r="F4" s="290"/>
      <c r="G4" s="290"/>
      <c r="H4" s="290"/>
      <c r="I4" s="290"/>
      <c r="J4">
        <v>1</v>
      </c>
      <c r="K4" s="3">
        <f>Sheet1!$B$2</f>
        <v>15400.000000000002</v>
      </c>
      <c r="L4" s="3">
        <f>J4*K4</f>
        <v>15400.000000000002</v>
      </c>
      <c r="N4" s="245"/>
      <c r="P4" s="233"/>
      <c r="V4" s="233"/>
      <c r="AB4" s="233"/>
    </row>
    <row r="5" spans="1:664" x14ac:dyDescent="0.2">
      <c r="C5" s="244"/>
      <c r="D5">
        <v>2</v>
      </c>
      <c r="E5" s="175">
        <v>1955546</v>
      </c>
      <c r="F5" s="175">
        <v>465827</v>
      </c>
      <c r="G5" s="175">
        <v>1938876</v>
      </c>
      <c r="H5" s="175">
        <v>304880</v>
      </c>
      <c r="I5" s="175">
        <v>675111</v>
      </c>
      <c r="J5">
        <v>5</v>
      </c>
      <c r="K5" s="3">
        <f>Sheet1!$C$2</f>
        <v>17600</v>
      </c>
      <c r="L5" s="3">
        <f>J5*K5</f>
        <v>88000</v>
      </c>
      <c r="M5" s="3">
        <f>SUM(L4:L5)</f>
        <v>103400</v>
      </c>
      <c r="N5" s="245"/>
      <c r="P5" s="233"/>
      <c r="V5" s="233"/>
      <c r="AB5" s="233"/>
      <c r="AH5" s="233"/>
    </row>
    <row r="6" spans="1:664" x14ac:dyDescent="0.2">
      <c r="C6" s="244"/>
      <c r="N6" s="245"/>
    </row>
    <row r="7" spans="1:664" x14ac:dyDescent="0.2">
      <c r="C7" s="244"/>
      <c r="D7" s="236" t="s">
        <v>129</v>
      </c>
      <c r="E7" s="288">
        <v>2</v>
      </c>
      <c r="F7" s="288"/>
      <c r="G7" s="288"/>
      <c r="H7" s="288"/>
      <c r="I7" s="288"/>
      <c r="N7" s="245"/>
    </row>
    <row r="8" spans="1:664" x14ac:dyDescent="0.2">
      <c r="C8" s="244"/>
      <c r="D8">
        <v>1</v>
      </c>
      <c r="E8" s="290">
        <v>1183936</v>
      </c>
      <c r="F8" s="290"/>
      <c r="G8" s="290"/>
      <c r="H8" s="290"/>
      <c r="I8" s="290"/>
      <c r="J8">
        <v>1</v>
      </c>
      <c r="K8" s="3">
        <f>Sheet1!$B$2</f>
        <v>15400.000000000002</v>
      </c>
      <c r="L8" s="3">
        <f>J8*K8</f>
        <v>15400.000000000002</v>
      </c>
      <c r="N8" s="245"/>
    </row>
    <row r="9" spans="1:664" x14ac:dyDescent="0.2">
      <c r="C9" s="244"/>
      <c r="D9">
        <v>2</v>
      </c>
      <c r="E9" s="175">
        <v>352829</v>
      </c>
      <c r="F9" s="175">
        <v>1278357</v>
      </c>
      <c r="G9" s="175">
        <v>1937492</v>
      </c>
      <c r="H9" s="175">
        <v>1466181</v>
      </c>
      <c r="I9" s="175">
        <v>1922227</v>
      </c>
      <c r="J9">
        <v>5</v>
      </c>
      <c r="K9" s="3">
        <f>Sheet1!$C$2</f>
        <v>17600</v>
      </c>
      <c r="L9" s="3">
        <f>J9*K9</f>
        <v>88000</v>
      </c>
      <c r="M9" s="3">
        <f>SUM(L8:L9)</f>
        <v>103400</v>
      </c>
      <c r="N9" s="245"/>
    </row>
    <row r="10" spans="1:664" x14ac:dyDescent="0.2">
      <c r="C10" s="244"/>
      <c r="N10" s="245"/>
    </row>
    <row r="11" spans="1:664" x14ac:dyDescent="0.2">
      <c r="C11" s="244"/>
      <c r="D11" s="236" t="s">
        <v>129</v>
      </c>
      <c r="E11" s="288">
        <v>3</v>
      </c>
      <c r="F11" s="288"/>
      <c r="G11" s="288"/>
      <c r="H11" s="288"/>
      <c r="I11" s="288"/>
      <c r="N11" s="245"/>
    </row>
    <row r="12" spans="1:664" x14ac:dyDescent="0.2">
      <c r="C12" s="244"/>
      <c r="D12">
        <v>1</v>
      </c>
      <c r="E12" s="290">
        <v>753636</v>
      </c>
      <c r="F12" s="290"/>
      <c r="G12" s="290"/>
      <c r="H12" s="290"/>
      <c r="I12" s="290"/>
      <c r="J12">
        <v>1</v>
      </c>
      <c r="K12" s="3">
        <f>Sheet1!$B$2</f>
        <v>15400.000000000002</v>
      </c>
      <c r="L12" s="3">
        <f>J12*K12</f>
        <v>15400.000000000002</v>
      </c>
      <c r="N12" s="245"/>
    </row>
    <row r="13" spans="1:664" x14ac:dyDescent="0.2">
      <c r="C13" s="244"/>
      <c r="D13">
        <v>2</v>
      </c>
      <c r="E13" s="175">
        <v>677348</v>
      </c>
      <c r="F13" s="175">
        <v>696293</v>
      </c>
      <c r="G13" s="175">
        <v>105293</v>
      </c>
      <c r="H13" s="175">
        <v>1354331</v>
      </c>
      <c r="I13" s="175">
        <v>735226</v>
      </c>
      <c r="J13">
        <v>5</v>
      </c>
      <c r="K13" s="3">
        <f>Sheet1!$C$2</f>
        <v>17600</v>
      </c>
      <c r="L13" s="3">
        <f>J13*K13</f>
        <v>88000</v>
      </c>
      <c r="M13" s="3">
        <f>SUM(L12:L13)</f>
        <v>103400</v>
      </c>
      <c r="N13" s="245"/>
    </row>
    <row r="14" spans="1:664" x14ac:dyDescent="0.2">
      <c r="C14" s="244"/>
      <c r="N14" s="245"/>
    </row>
    <row r="15" spans="1:664" x14ac:dyDescent="0.2">
      <c r="C15" s="244"/>
      <c r="D15" s="236" t="s">
        <v>129</v>
      </c>
      <c r="E15" s="288">
        <v>4</v>
      </c>
      <c r="F15" s="288"/>
      <c r="G15" s="288"/>
      <c r="H15" s="288"/>
      <c r="I15" s="288"/>
      <c r="N15" s="245"/>
    </row>
    <row r="16" spans="1:664" x14ac:dyDescent="0.2">
      <c r="C16" s="244"/>
      <c r="D16">
        <v>1</v>
      </c>
      <c r="E16" s="290">
        <v>504755</v>
      </c>
      <c r="F16" s="290"/>
      <c r="G16" s="290"/>
      <c r="H16" s="290"/>
      <c r="I16" s="290"/>
      <c r="J16">
        <v>1</v>
      </c>
      <c r="K16" s="3">
        <f>Sheet1!$B$2</f>
        <v>15400.000000000002</v>
      </c>
      <c r="L16" s="3">
        <f>J16*K16</f>
        <v>15400.000000000002</v>
      </c>
      <c r="N16" s="245"/>
    </row>
    <row r="17" spans="3:25" x14ac:dyDescent="0.2">
      <c r="C17" s="244"/>
      <c r="D17">
        <v>2</v>
      </c>
      <c r="E17" s="175">
        <v>1770130</v>
      </c>
      <c r="F17" s="175">
        <v>105552</v>
      </c>
      <c r="G17" s="175">
        <v>991383</v>
      </c>
      <c r="H17" s="175">
        <v>521657</v>
      </c>
      <c r="I17" s="175">
        <v>156796</v>
      </c>
      <c r="J17">
        <v>5</v>
      </c>
      <c r="K17" s="3">
        <f>Sheet1!$C$2</f>
        <v>17600</v>
      </c>
      <c r="L17" s="3">
        <f>J17*K17</f>
        <v>88000</v>
      </c>
      <c r="M17" s="3">
        <f>SUM(L16:L17)</f>
        <v>103400</v>
      </c>
      <c r="N17" s="245"/>
    </row>
    <row r="18" spans="3:25" x14ac:dyDescent="0.2">
      <c r="C18" s="244"/>
      <c r="N18" s="245"/>
    </row>
    <row r="19" spans="3:25" x14ac:dyDescent="0.2">
      <c r="C19" s="244"/>
      <c r="D19" s="236" t="s">
        <v>129</v>
      </c>
      <c r="E19" s="288">
        <v>5</v>
      </c>
      <c r="F19" s="288"/>
      <c r="G19" s="288"/>
      <c r="H19" s="288"/>
      <c r="I19" s="288"/>
      <c r="N19" s="245"/>
    </row>
    <row r="20" spans="3:25" x14ac:dyDescent="0.2">
      <c r="C20" s="244"/>
      <c r="D20">
        <v>1</v>
      </c>
      <c r="E20" s="195"/>
      <c r="F20" s="195"/>
      <c r="G20" s="195">
        <v>257938</v>
      </c>
      <c r="H20" s="195"/>
      <c r="I20" s="195"/>
      <c r="J20">
        <v>1</v>
      </c>
      <c r="K20" s="3">
        <f>Sheet1!$B$2</f>
        <v>15400.000000000002</v>
      </c>
      <c r="L20" s="3">
        <f>J20*K20</f>
        <v>15400.000000000002</v>
      </c>
      <c r="N20" s="245"/>
    </row>
    <row r="21" spans="3:25" x14ac:dyDescent="0.2">
      <c r="C21" s="244"/>
      <c r="D21">
        <v>2</v>
      </c>
      <c r="E21" s="175">
        <v>979</v>
      </c>
      <c r="F21" s="175">
        <v>1617683</v>
      </c>
      <c r="G21" s="175">
        <v>1667107</v>
      </c>
      <c r="H21" s="175">
        <v>329624</v>
      </c>
      <c r="I21" s="175">
        <v>55291</v>
      </c>
      <c r="J21">
        <v>5</v>
      </c>
      <c r="K21" s="3">
        <f>Sheet1!$C$2</f>
        <v>17600</v>
      </c>
      <c r="L21" s="3">
        <f>J21*K21</f>
        <v>88000</v>
      </c>
      <c r="M21" s="3">
        <f>SUM(L20:L21)</f>
        <v>103400</v>
      </c>
      <c r="N21" s="245"/>
    </row>
    <row r="22" spans="3:25" x14ac:dyDescent="0.2">
      <c r="C22" s="244"/>
      <c r="M22" s="18">
        <f>SUM(M5:M21)</f>
        <v>517000</v>
      </c>
      <c r="N22" s="245"/>
    </row>
    <row r="23" spans="3:25" x14ac:dyDescent="0.2">
      <c r="C23" s="244"/>
      <c r="I23" s="236" t="s">
        <v>129</v>
      </c>
      <c r="J23" t="s">
        <v>117</v>
      </c>
      <c r="M23" s="3"/>
      <c r="N23" s="245"/>
    </row>
    <row r="24" spans="3:25" x14ac:dyDescent="0.2">
      <c r="C24" s="244"/>
      <c r="I24">
        <v>1</v>
      </c>
      <c r="J24">
        <v>5</v>
      </c>
      <c r="M24" s="3"/>
      <c r="N24" s="245"/>
    </row>
    <row r="25" spans="3:25" x14ac:dyDescent="0.2">
      <c r="C25" s="244"/>
      <c r="I25">
        <v>2</v>
      </c>
      <c r="J25">
        <v>25</v>
      </c>
      <c r="N25" s="245"/>
    </row>
    <row r="26" spans="3:25" ht="17" thickBot="1" x14ac:dyDescent="0.25">
      <c r="C26" s="246"/>
      <c r="D26" s="247"/>
      <c r="E26" s="247"/>
      <c r="F26" s="247"/>
      <c r="G26" s="247"/>
      <c r="H26" s="247"/>
      <c r="I26" s="247"/>
      <c r="J26" s="247"/>
      <c r="K26" s="247"/>
      <c r="L26" s="247"/>
      <c r="M26" s="247"/>
      <c r="N26" s="248"/>
    </row>
    <row r="29" spans="3:25" ht="17" thickBot="1" x14ac:dyDescent="0.25"/>
    <row r="30" spans="3:25" x14ac:dyDescent="0.2">
      <c r="C30" s="249">
        <v>120</v>
      </c>
      <c r="D30" s="250" t="s">
        <v>129</v>
      </c>
      <c r="E30" s="292">
        <v>1</v>
      </c>
      <c r="F30" s="292"/>
      <c r="G30" s="292"/>
      <c r="H30" s="292"/>
      <c r="I30" s="292"/>
      <c r="J30" s="251" t="s">
        <v>211</v>
      </c>
      <c r="K30" s="252"/>
      <c r="L30" s="242"/>
      <c r="M30" s="242"/>
      <c r="N30" s="242"/>
      <c r="O30" s="253" t="s">
        <v>129</v>
      </c>
      <c r="P30" s="293">
        <v>1</v>
      </c>
      <c r="Q30" s="293"/>
      <c r="R30" s="293"/>
      <c r="S30" s="293"/>
      <c r="T30" s="293"/>
      <c r="U30" s="254" t="s">
        <v>211</v>
      </c>
      <c r="V30" s="255"/>
      <c r="W30" s="256"/>
      <c r="X30" s="256"/>
      <c r="Y30" s="243"/>
    </row>
    <row r="31" spans="3:25" x14ac:dyDescent="0.2">
      <c r="C31" s="244"/>
      <c r="D31">
        <v>1</v>
      </c>
      <c r="E31" s="290">
        <v>403058</v>
      </c>
      <c r="F31" s="290"/>
      <c r="G31" s="290"/>
      <c r="H31" s="290"/>
      <c r="I31" s="290"/>
      <c r="J31">
        <v>1</v>
      </c>
      <c r="K31" s="3">
        <f>Sheet1!$B$2</f>
        <v>15400.000000000002</v>
      </c>
      <c r="L31" s="3">
        <f>J31*K31</f>
        <v>15400.000000000002</v>
      </c>
      <c r="O31" s="240">
        <v>1</v>
      </c>
      <c r="P31" s="291">
        <v>2049</v>
      </c>
      <c r="Q31" s="291"/>
      <c r="R31" s="291"/>
      <c r="S31" s="291"/>
      <c r="T31" s="291"/>
      <c r="U31" s="240">
        <v>1</v>
      </c>
      <c r="V31" s="3">
        <f>Sheet1!$B$2</f>
        <v>15400.000000000002</v>
      </c>
      <c r="W31" s="3">
        <f>U31*V31</f>
        <v>15400.000000000002</v>
      </c>
      <c r="Y31" s="245"/>
    </row>
    <row r="32" spans="3:25" x14ac:dyDescent="0.2">
      <c r="C32" s="244"/>
      <c r="D32">
        <v>2</v>
      </c>
      <c r="E32" s="175">
        <v>1866645</v>
      </c>
      <c r="F32" s="175">
        <v>510526</v>
      </c>
      <c r="G32" s="175">
        <v>519873</v>
      </c>
      <c r="H32" s="175">
        <v>1793689</v>
      </c>
      <c r="I32" s="175">
        <v>1614574</v>
      </c>
      <c r="J32">
        <v>5</v>
      </c>
      <c r="K32" s="3">
        <f>Sheet1!$C$2</f>
        <v>17600</v>
      </c>
      <c r="L32" s="3">
        <f>J32*K32</f>
        <v>88000</v>
      </c>
      <c r="M32" s="3">
        <f>SUM(L31:L32)</f>
        <v>103400</v>
      </c>
      <c r="O32" s="240">
        <v>2</v>
      </c>
      <c r="P32" s="241">
        <v>788624</v>
      </c>
      <c r="Q32" s="241">
        <v>1863302</v>
      </c>
      <c r="R32" s="241">
        <v>1953336</v>
      </c>
      <c r="S32" s="241">
        <v>1256346</v>
      </c>
      <c r="T32" s="241">
        <v>1209108</v>
      </c>
      <c r="U32" s="240">
        <v>5</v>
      </c>
      <c r="V32" s="3">
        <f>Sheet1!$C$2</f>
        <v>17600</v>
      </c>
      <c r="W32" s="3">
        <f>U32*V32</f>
        <v>88000</v>
      </c>
      <c r="X32" s="3">
        <f>SUM(W31:W32)</f>
        <v>103400</v>
      </c>
      <c r="Y32" s="245"/>
    </row>
    <row r="33" spans="3:25" x14ac:dyDescent="0.2">
      <c r="C33" s="244"/>
      <c r="O33" s="240"/>
      <c r="P33" s="240"/>
      <c r="Q33" s="240"/>
      <c r="R33" s="240"/>
      <c r="S33" s="240"/>
      <c r="T33" s="240"/>
      <c r="U33" s="240"/>
      <c r="Y33" s="245"/>
    </row>
    <row r="34" spans="3:25" x14ac:dyDescent="0.2">
      <c r="C34" s="244"/>
      <c r="D34" s="236" t="s">
        <v>129</v>
      </c>
      <c r="E34" s="288">
        <v>2</v>
      </c>
      <c r="F34" s="288"/>
      <c r="G34" s="288"/>
      <c r="H34" s="288"/>
      <c r="I34" s="288"/>
      <c r="O34" s="237" t="s">
        <v>129</v>
      </c>
      <c r="P34" s="289">
        <v>2</v>
      </c>
      <c r="Q34" s="289"/>
      <c r="R34" s="289"/>
      <c r="S34" s="289"/>
      <c r="T34" s="289"/>
      <c r="U34" s="240"/>
      <c r="Y34" s="245"/>
    </row>
    <row r="35" spans="3:25" x14ac:dyDescent="0.2">
      <c r="C35" s="244"/>
      <c r="D35">
        <v>1</v>
      </c>
      <c r="E35" s="290">
        <v>98408</v>
      </c>
      <c r="F35" s="290"/>
      <c r="G35" s="290"/>
      <c r="H35" s="290"/>
      <c r="I35" s="290"/>
      <c r="J35">
        <v>1</v>
      </c>
      <c r="K35" s="3">
        <f>Sheet1!$B$2</f>
        <v>15400.000000000002</v>
      </c>
      <c r="L35" s="3">
        <f>J35*K35</f>
        <v>15400.000000000002</v>
      </c>
      <c r="O35" s="240">
        <v>1</v>
      </c>
      <c r="P35" s="291">
        <v>566218</v>
      </c>
      <c r="Q35" s="291"/>
      <c r="R35" s="291"/>
      <c r="S35" s="291"/>
      <c r="T35" s="291"/>
      <c r="U35" s="240">
        <v>1</v>
      </c>
      <c r="V35" s="3">
        <f>Sheet1!$B$2</f>
        <v>15400.000000000002</v>
      </c>
      <c r="W35" s="3">
        <f>U35*V35</f>
        <v>15400.000000000002</v>
      </c>
      <c r="Y35" s="245"/>
    </row>
    <row r="36" spans="3:25" x14ac:dyDescent="0.2">
      <c r="C36" s="244"/>
      <c r="D36">
        <v>2</v>
      </c>
      <c r="E36" s="175">
        <v>1951935</v>
      </c>
      <c r="F36" s="175">
        <v>1918701</v>
      </c>
      <c r="G36" s="175">
        <v>1418555</v>
      </c>
      <c r="H36" s="175">
        <v>1646513</v>
      </c>
      <c r="I36" s="175">
        <v>332172</v>
      </c>
      <c r="J36">
        <v>5</v>
      </c>
      <c r="K36" s="3">
        <f>Sheet1!$C$2</f>
        <v>17600</v>
      </c>
      <c r="L36" s="3">
        <f>J36*K36</f>
        <v>88000</v>
      </c>
      <c r="M36" s="3">
        <f>SUM(L35:L36)</f>
        <v>103400</v>
      </c>
      <c r="O36" s="240">
        <v>2</v>
      </c>
      <c r="P36" s="241">
        <v>1719588</v>
      </c>
      <c r="Q36" s="241">
        <v>1864784</v>
      </c>
      <c r="R36" s="241">
        <v>853221</v>
      </c>
      <c r="S36" s="241">
        <v>60032</v>
      </c>
      <c r="T36" s="241">
        <v>1872434</v>
      </c>
      <c r="U36" s="240">
        <v>5</v>
      </c>
      <c r="V36" s="3">
        <f>Sheet1!$C$2</f>
        <v>17600</v>
      </c>
      <c r="W36" s="3">
        <f>U36*V36</f>
        <v>88000</v>
      </c>
      <c r="X36" s="3">
        <f>SUM(W35:W36)</f>
        <v>103400</v>
      </c>
      <c r="Y36" s="245"/>
    </row>
    <row r="37" spans="3:25" x14ac:dyDescent="0.2">
      <c r="C37" s="244"/>
      <c r="O37" s="240"/>
      <c r="P37" s="240"/>
      <c r="Q37" s="240"/>
      <c r="R37" s="240"/>
      <c r="S37" s="240"/>
      <c r="T37" s="240"/>
      <c r="U37" s="240"/>
      <c r="Y37" s="245"/>
    </row>
    <row r="38" spans="3:25" x14ac:dyDescent="0.2">
      <c r="C38" s="244"/>
      <c r="D38" s="236" t="s">
        <v>129</v>
      </c>
      <c r="E38" s="288">
        <v>3</v>
      </c>
      <c r="F38" s="288"/>
      <c r="G38" s="288"/>
      <c r="H38" s="288"/>
      <c r="I38" s="288"/>
      <c r="O38" s="237" t="s">
        <v>129</v>
      </c>
      <c r="P38" s="289">
        <v>3</v>
      </c>
      <c r="Q38" s="289"/>
      <c r="R38" s="289"/>
      <c r="S38" s="289"/>
      <c r="T38" s="289"/>
      <c r="U38" s="240"/>
      <c r="Y38" s="245"/>
    </row>
    <row r="39" spans="3:25" x14ac:dyDescent="0.2">
      <c r="C39" s="244"/>
      <c r="D39">
        <v>1</v>
      </c>
      <c r="E39" s="290">
        <v>749811</v>
      </c>
      <c r="F39" s="290"/>
      <c r="G39" s="290"/>
      <c r="H39" s="290"/>
      <c r="I39" s="290"/>
      <c r="J39">
        <v>1</v>
      </c>
      <c r="K39" s="3">
        <f>Sheet1!$B$2</f>
        <v>15400.000000000002</v>
      </c>
      <c r="L39" s="3">
        <f>J39*K39</f>
        <v>15400.000000000002</v>
      </c>
      <c r="O39" s="240">
        <v>1</v>
      </c>
      <c r="P39" s="291">
        <v>1886961</v>
      </c>
      <c r="Q39" s="291"/>
      <c r="R39" s="291"/>
      <c r="S39" s="291"/>
      <c r="T39" s="291"/>
      <c r="U39" s="240">
        <v>1</v>
      </c>
      <c r="V39" s="3">
        <f>Sheet1!$B$2</f>
        <v>15400.000000000002</v>
      </c>
      <c r="W39" s="3">
        <f>U39*V39</f>
        <v>15400.000000000002</v>
      </c>
      <c r="Y39" s="245"/>
    </row>
    <row r="40" spans="3:25" x14ac:dyDescent="0.2">
      <c r="C40" s="244"/>
      <c r="D40">
        <v>2</v>
      </c>
      <c r="E40" s="175">
        <v>1107103</v>
      </c>
      <c r="F40" s="175">
        <v>342259</v>
      </c>
      <c r="G40" s="175">
        <v>703921</v>
      </c>
      <c r="H40" s="175">
        <v>602604</v>
      </c>
      <c r="I40" s="175">
        <v>397381</v>
      </c>
      <c r="J40">
        <v>5</v>
      </c>
      <c r="K40" s="3">
        <f>Sheet1!$C$2</f>
        <v>17600</v>
      </c>
      <c r="L40" s="3">
        <f>J40*K40</f>
        <v>88000</v>
      </c>
      <c r="M40" s="3">
        <f>SUM(L39:L40)</f>
        <v>103400</v>
      </c>
      <c r="O40" s="240">
        <v>2</v>
      </c>
      <c r="P40" s="241">
        <v>986932</v>
      </c>
      <c r="Q40" s="241">
        <v>1252778</v>
      </c>
      <c r="R40" s="241">
        <v>1814014</v>
      </c>
      <c r="S40" s="241">
        <v>1381498</v>
      </c>
      <c r="T40" s="241">
        <v>805545</v>
      </c>
      <c r="U40" s="240">
        <v>5</v>
      </c>
      <c r="V40" s="3">
        <f>Sheet1!$C$2</f>
        <v>17600</v>
      </c>
      <c r="W40" s="3">
        <f>U40*V40</f>
        <v>88000</v>
      </c>
      <c r="X40" s="3">
        <f>SUM(W39:W40)</f>
        <v>103400</v>
      </c>
      <c r="Y40" s="245"/>
    </row>
    <row r="41" spans="3:25" x14ac:dyDescent="0.2">
      <c r="C41" s="244"/>
      <c r="O41" s="240"/>
      <c r="P41" s="240"/>
      <c r="Q41" s="240"/>
      <c r="R41" s="240"/>
      <c r="S41" s="240"/>
      <c r="T41" s="240"/>
      <c r="U41" s="240"/>
      <c r="Y41" s="245"/>
    </row>
    <row r="42" spans="3:25" x14ac:dyDescent="0.2">
      <c r="C42" s="244"/>
      <c r="D42" s="236" t="s">
        <v>129</v>
      </c>
      <c r="E42" s="288">
        <v>4</v>
      </c>
      <c r="F42" s="288"/>
      <c r="G42" s="288"/>
      <c r="H42" s="288"/>
      <c r="I42" s="288"/>
      <c r="O42" s="237" t="s">
        <v>129</v>
      </c>
      <c r="P42" s="289">
        <v>4</v>
      </c>
      <c r="Q42" s="289"/>
      <c r="R42" s="289"/>
      <c r="S42" s="289"/>
      <c r="T42" s="289"/>
      <c r="U42" s="240"/>
      <c r="Y42" s="245"/>
    </row>
    <row r="43" spans="3:25" x14ac:dyDescent="0.2">
      <c r="C43" s="244"/>
      <c r="D43">
        <v>1</v>
      </c>
      <c r="E43" s="290">
        <v>633398</v>
      </c>
      <c r="F43" s="290"/>
      <c r="G43" s="290"/>
      <c r="H43" s="290"/>
      <c r="I43" s="290"/>
      <c r="J43">
        <v>1</v>
      </c>
      <c r="K43" s="3">
        <f>Sheet1!$B$2</f>
        <v>15400.000000000002</v>
      </c>
      <c r="L43" s="3">
        <f>J43*K43</f>
        <v>15400.000000000002</v>
      </c>
      <c r="O43" s="240">
        <v>1</v>
      </c>
      <c r="P43" s="291">
        <v>1425316</v>
      </c>
      <c r="Q43" s="291"/>
      <c r="R43" s="291"/>
      <c r="S43" s="291"/>
      <c r="T43" s="291"/>
      <c r="U43" s="240">
        <v>1</v>
      </c>
      <c r="V43" s="3">
        <f>Sheet1!$B$2</f>
        <v>15400.000000000002</v>
      </c>
      <c r="W43" s="3">
        <f>U43*V43</f>
        <v>15400.000000000002</v>
      </c>
      <c r="Y43" s="245"/>
    </row>
    <row r="44" spans="3:25" x14ac:dyDescent="0.2">
      <c r="C44" s="244"/>
      <c r="D44">
        <v>2</v>
      </c>
      <c r="E44" s="175">
        <v>314430</v>
      </c>
      <c r="F44" s="175">
        <v>1482021</v>
      </c>
      <c r="G44" s="175">
        <v>1064446</v>
      </c>
      <c r="H44" s="175">
        <v>414365</v>
      </c>
      <c r="I44" s="175">
        <v>1377092</v>
      </c>
      <c r="J44">
        <v>5</v>
      </c>
      <c r="K44" s="3">
        <f>Sheet1!$C$2</f>
        <v>17600</v>
      </c>
      <c r="L44" s="3">
        <f>J44*K44</f>
        <v>88000</v>
      </c>
      <c r="M44" s="3">
        <f>SUM(L43:L44)</f>
        <v>103400</v>
      </c>
      <c r="O44" s="240">
        <v>2</v>
      </c>
      <c r="P44" s="241">
        <v>1556866</v>
      </c>
      <c r="Q44" s="241">
        <v>185922</v>
      </c>
      <c r="R44" s="241">
        <v>872016</v>
      </c>
      <c r="S44" s="241">
        <v>831652</v>
      </c>
      <c r="T44" s="241">
        <v>562490</v>
      </c>
      <c r="U44" s="240">
        <v>5</v>
      </c>
      <c r="V44" s="3">
        <f>Sheet1!$C$2</f>
        <v>17600</v>
      </c>
      <c r="W44" s="3">
        <f>U44*V44</f>
        <v>88000</v>
      </c>
      <c r="X44" s="3">
        <f>SUM(W43:W44)</f>
        <v>103400</v>
      </c>
      <c r="Y44" s="245"/>
    </row>
    <row r="45" spans="3:25" x14ac:dyDescent="0.2">
      <c r="C45" s="244"/>
      <c r="O45" s="240"/>
      <c r="P45" s="240"/>
      <c r="Q45" s="240"/>
      <c r="R45" s="240"/>
      <c r="S45" s="240"/>
      <c r="T45" s="240"/>
      <c r="U45" s="240"/>
      <c r="Y45" s="245"/>
    </row>
    <row r="46" spans="3:25" x14ac:dyDescent="0.2">
      <c r="C46" s="244"/>
      <c r="D46" s="236" t="s">
        <v>129</v>
      </c>
      <c r="E46" s="288">
        <v>5</v>
      </c>
      <c r="F46" s="288"/>
      <c r="G46" s="288"/>
      <c r="H46" s="288"/>
      <c r="I46" s="288"/>
      <c r="O46" s="237" t="s">
        <v>129</v>
      </c>
      <c r="P46" s="289">
        <v>5</v>
      </c>
      <c r="Q46" s="289"/>
      <c r="R46" s="289"/>
      <c r="S46" s="289"/>
      <c r="T46" s="289"/>
      <c r="U46" s="240"/>
      <c r="Y46" s="245"/>
    </row>
    <row r="47" spans="3:25" x14ac:dyDescent="0.2">
      <c r="C47" s="244"/>
      <c r="D47">
        <v>1</v>
      </c>
      <c r="E47" s="195"/>
      <c r="F47" s="195"/>
      <c r="G47" s="195">
        <v>81063</v>
      </c>
      <c r="H47" s="195"/>
      <c r="I47" s="195"/>
      <c r="J47">
        <v>1</v>
      </c>
      <c r="K47" s="3">
        <f>Sheet1!$B$2</f>
        <v>15400.000000000002</v>
      </c>
      <c r="L47" s="3">
        <f>J47*K47</f>
        <v>15400.000000000002</v>
      </c>
      <c r="O47" s="240">
        <v>1</v>
      </c>
      <c r="P47" s="291">
        <v>1364309</v>
      </c>
      <c r="Q47" s="291"/>
      <c r="R47" s="291"/>
      <c r="S47" s="291"/>
      <c r="T47" s="291"/>
      <c r="U47" s="240">
        <v>1</v>
      </c>
      <c r="V47" s="3">
        <f>Sheet1!$B$2</f>
        <v>15400.000000000002</v>
      </c>
      <c r="W47" s="3">
        <f>U47*V47</f>
        <v>15400.000000000002</v>
      </c>
      <c r="Y47" s="245"/>
    </row>
    <row r="48" spans="3:25" x14ac:dyDescent="0.2">
      <c r="C48" s="244"/>
      <c r="D48">
        <v>2</v>
      </c>
      <c r="E48" s="175">
        <v>1760436</v>
      </c>
      <c r="F48" s="175">
        <v>653262</v>
      </c>
      <c r="G48" s="175">
        <v>1936873</v>
      </c>
      <c r="H48" s="175">
        <v>1004598</v>
      </c>
      <c r="I48" s="175">
        <v>148234</v>
      </c>
      <c r="J48">
        <v>5</v>
      </c>
      <c r="K48" s="3">
        <f>Sheet1!$C$2</f>
        <v>17600</v>
      </c>
      <c r="L48" s="3">
        <f>J48*K48</f>
        <v>88000</v>
      </c>
      <c r="M48" s="3">
        <f>SUM(L47:L48)</f>
        <v>103400</v>
      </c>
      <c r="O48" s="240">
        <v>2</v>
      </c>
      <c r="P48" s="241">
        <v>298253</v>
      </c>
      <c r="Q48" s="241">
        <v>1667669</v>
      </c>
      <c r="R48" s="241">
        <v>1600717</v>
      </c>
      <c r="S48" s="241">
        <v>716887</v>
      </c>
      <c r="T48" s="241">
        <v>782254</v>
      </c>
      <c r="U48" s="240">
        <v>5</v>
      </c>
      <c r="V48" s="3">
        <f>Sheet1!$C$2</f>
        <v>17600</v>
      </c>
      <c r="W48" s="3">
        <f>U48*V48</f>
        <v>88000</v>
      </c>
      <c r="X48" s="3">
        <f>SUM(W47:W48)</f>
        <v>103400</v>
      </c>
      <c r="Y48" s="245"/>
    </row>
    <row r="49" spans="3:25" x14ac:dyDescent="0.2">
      <c r="C49" s="244"/>
      <c r="M49" s="3">
        <f>SUM(M32:M48)</f>
        <v>517000</v>
      </c>
      <c r="O49" s="240"/>
      <c r="P49" s="240"/>
      <c r="Q49" s="240"/>
      <c r="R49" s="240"/>
      <c r="S49" s="240"/>
      <c r="T49" s="240"/>
      <c r="U49" s="240"/>
      <c r="X49" s="18">
        <f>SUM(X32:X48)</f>
        <v>517000</v>
      </c>
      <c r="Y49" s="245"/>
    </row>
    <row r="50" spans="3:25" x14ac:dyDescent="0.2">
      <c r="C50" s="244"/>
      <c r="I50" s="236" t="s">
        <v>129</v>
      </c>
      <c r="J50" t="s">
        <v>117</v>
      </c>
      <c r="O50" s="240"/>
      <c r="P50" s="240"/>
      <c r="Q50" s="240"/>
      <c r="R50" s="240"/>
      <c r="S50" s="240"/>
      <c r="T50" s="237" t="s">
        <v>129</v>
      </c>
      <c r="U50" s="240" t="s">
        <v>117</v>
      </c>
      <c r="V50" s="240"/>
      <c r="W50" s="240"/>
      <c r="X50" s="240"/>
      <c r="Y50" s="245"/>
    </row>
    <row r="51" spans="3:25" x14ac:dyDescent="0.2">
      <c r="C51" s="244"/>
      <c r="I51">
        <v>1</v>
      </c>
      <c r="J51">
        <v>5</v>
      </c>
      <c r="O51" s="240"/>
      <c r="P51" s="240"/>
      <c r="Q51" s="240"/>
      <c r="R51" s="240"/>
      <c r="S51" s="240"/>
      <c r="T51" s="240">
        <v>1</v>
      </c>
      <c r="U51" s="240">
        <v>5</v>
      </c>
      <c r="V51" s="240"/>
      <c r="W51" s="240"/>
      <c r="X51" s="240"/>
      <c r="Y51" s="245"/>
    </row>
    <row r="52" spans="3:25" x14ac:dyDescent="0.2">
      <c r="C52" s="244"/>
      <c r="I52">
        <v>2</v>
      </c>
      <c r="J52">
        <v>25</v>
      </c>
      <c r="O52" s="240"/>
      <c r="P52" s="240"/>
      <c r="Q52" s="240"/>
      <c r="R52" s="240"/>
      <c r="S52" s="240"/>
      <c r="T52" s="240">
        <v>2</v>
      </c>
      <c r="U52" s="240">
        <v>25</v>
      </c>
      <c r="V52" s="240"/>
      <c r="W52" s="240"/>
      <c r="X52" s="240"/>
      <c r="Y52" s="245"/>
    </row>
    <row r="53" spans="3:25" ht="17" thickBot="1" x14ac:dyDescent="0.25">
      <c r="C53" s="244"/>
      <c r="Y53" s="245"/>
    </row>
    <row r="54" spans="3:25" x14ac:dyDescent="0.2">
      <c r="C54" s="244"/>
      <c r="D54" s="236" t="s">
        <v>129</v>
      </c>
      <c r="E54" s="292">
        <v>1</v>
      </c>
      <c r="F54" s="292"/>
      <c r="G54" s="292"/>
      <c r="H54" s="292"/>
      <c r="I54" s="292"/>
      <c r="J54" s="172" t="s">
        <v>211</v>
      </c>
      <c r="K54" s="5"/>
      <c r="O54" s="237" t="s">
        <v>129</v>
      </c>
      <c r="P54" s="289">
        <v>1</v>
      </c>
      <c r="Q54" s="289"/>
      <c r="R54" s="289"/>
      <c r="S54" s="289"/>
      <c r="T54" s="289"/>
      <c r="U54" s="238" t="s">
        <v>211</v>
      </c>
      <c r="V54" s="239"/>
      <c r="W54" s="240"/>
      <c r="X54" s="240"/>
      <c r="Y54" s="245"/>
    </row>
    <row r="55" spans="3:25" x14ac:dyDescent="0.2">
      <c r="C55" s="244"/>
      <c r="D55">
        <v>1</v>
      </c>
      <c r="E55" s="290">
        <v>1818936</v>
      </c>
      <c r="F55" s="290"/>
      <c r="G55" s="290"/>
      <c r="H55" s="290"/>
      <c r="I55" s="290"/>
      <c r="J55">
        <v>1</v>
      </c>
      <c r="K55" s="3">
        <f>Sheet1!$B$2</f>
        <v>15400.000000000002</v>
      </c>
      <c r="L55" s="3">
        <f>J55*K55</f>
        <v>15400.000000000002</v>
      </c>
      <c r="O55" s="240">
        <v>1</v>
      </c>
      <c r="P55" s="291">
        <v>1630892</v>
      </c>
      <c r="Q55" s="291"/>
      <c r="R55" s="291"/>
      <c r="S55" s="291"/>
      <c r="T55" s="291"/>
      <c r="U55" s="240">
        <v>1</v>
      </c>
      <c r="V55" s="3">
        <f>Sheet1!$B$2</f>
        <v>15400.000000000002</v>
      </c>
      <c r="W55" s="3">
        <f>U55*V55</f>
        <v>15400.000000000002</v>
      </c>
      <c r="Y55" s="245"/>
    </row>
    <row r="56" spans="3:25" x14ac:dyDescent="0.2">
      <c r="C56" s="244"/>
      <c r="D56">
        <v>2</v>
      </c>
      <c r="E56" s="175">
        <v>1847507</v>
      </c>
      <c r="F56" s="175">
        <v>40021</v>
      </c>
      <c r="G56" s="175">
        <v>240932</v>
      </c>
      <c r="H56" s="175">
        <v>1098666</v>
      </c>
      <c r="I56" s="175">
        <v>376868</v>
      </c>
      <c r="J56">
        <v>5</v>
      </c>
      <c r="K56" s="3">
        <f>Sheet1!$C$2</f>
        <v>17600</v>
      </c>
      <c r="L56" s="3">
        <f>J56*K56</f>
        <v>88000</v>
      </c>
      <c r="M56" s="3">
        <f>SUM(L55:L56)</f>
        <v>103400</v>
      </c>
      <c r="O56" s="240">
        <v>2</v>
      </c>
      <c r="P56" s="241">
        <v>529763</v>
      </c>
      <c r="Q56" s="241">
        <v>1905745</v>
      </c>
      <c r="R56" s="241">
        <v>1919192</v>
      </c>
      <c r="S56" s="241">
        <v>1881378</v>
      </c>
      <c r="T56" s="241">
        <v>1533730</v>
      </c>
      <c r="U56" s="240">
        <v>5</v>
      </c>
      <c r="V56" s="3">
        <f>Sheet1!$C$2</f>
        <v>17600</v>
      </c>
      <c r="W56" s="3">
        <f>U56*V56</f>
        <v>88000</v>
      </c>
      <c r="X56" s="3">
        <f>SUM(W55:W56)</f>
        <v>103400</v>
      </c>
      <c r="Y56" s="245"/>
    </row>
    <row r="57" spans="3:25" x14ac:dyDescent="0.2">
      <c r="C57" s="244"/>
      <c r="O57" s="240"/>
      <c r="P57" s="240"/>
      <c r="Q57" s="240"/>
      <c r="R57" s="240"/>
      <c r="S57" s="240"/>
      <c r="T57" s="240"/>
      <c r="U57" s="240"/>
      <c r="Y57" s="245"/>
    </row>
    <row r="58" spans="3:25" x14ac:dyDescent="0.2">
      <c r="C58" s="244"/>
      <c r="D58" s="236" t="s">
        <v>129</v>
      </c>
      <c r="E58" s="288">
        <v>2</v>
      </c>
      <c r="F58" s="288"/>
      <c r="G58" s="288"/>
      <c r="H58" s="288"/>
      <c r="I58" s="288"/>
      <c r="O58" s="237" t="s">
        <v>129</v>
      </c>
      <c r="P58" s="289">
        <v>2</v>
      </c>
      <c r="Q58" s="289"/>
      <c r="R58" s="289"/>
      <c r="S58" s="289"/>
      <c r="T58" s="289"/>
      <c r="U58" s="240"/>
      <c r="Y58" s="245"/>
    </row>
    <row r="59" spans="3:25" x14ac:dyDescent="0.2">
      <c r="C59" s="244"/>
      <c r="D59">
        <v>1</v>
      </c>
      <c r="E59" s="290">
        <v>789731</v>
      </c>
      <c r="F59" s="290">
        <v>1910125</v>
      </c>
      <c r="G59" s="290">
        <v>1421351</v>
      </c>
      <c r="H59" s="290">
        <v>1077231</v>
      </c>
      <c r="I59" s="290">
        <v>1708918</v>
      </c>
      <c r="J59">
        <v>1</v>
      </c>
      <c r="K59" s="3">
        <f>Sheet1!$B$2</f>
        <v>15400.000000000002</v>
      </c>
      <c r="L59" s="3">
        <f>J59*K59</f>
        <v>15400.000000000002</v>
      </c>
      <c r="O59" s="240">
        <v>1</v>
      </c>
      <c r="P59" s="291">
        <v>1673203</v>
      </c>
      <c r="Q59" s="291"/>
      <c r="R59" s="291"/>
      <c r="S59" s="291"/>
      <c r="T59" s="291"/>
      <c r="U59" s="240">
        <v>1</v>
      </c>
      <c r="V59" s="3">
        <f>Sheet1!$B$2</f>
        <v>15400.000000000002</v>
      </c>
      <c r="W59" s="3">
        <f>U59*V59</f>
        <v>15400.000000000002</v>
      </c>
      <c r="Y59" s="245"/>
    </row>
    <row r="60" spans="3:25" x14ac:dyDescent="0.2">
      <c r="C60" s="244"/>
      <c r="D60">
        <v>2</v>
      </c>
      <c r="E60" s="175">
        <v>677051</v>
      </c>
      <c r="F60" s="175">
        <v>579200</v>
      </c>
      <c r="G60" s="175">
        <v>846896</v>
      </c>
      <c r="H60" s="175">
        <v>1552203</v>
      </c>
      <c r="I60" s="175">
        <v>726212</v>
      </c>
      <c r="J60">
        <v>5</v>
      </c>
      <c r="K60" s="3">
        <f>Sheet1!$C$2</f>
        <v>17600</v>
      </c>
      <c r="L60" s="3">
        <f>J60*K60</f>
        <v>88000</v>
      </c>
      <c r="M60" s="3">
        <f>SUM(L59:L60)</f>
        <v>103400</v>
      </c>
      <c r="O60" s="240">
        <v>2</v>
      </c>
      <c r="P60" s="241">
        <v>808838</v>
      </c>
      <c r="Q60" s="241">
        <v>1297703</v>
      </c>
      <c r="R60" s="241">
        <v>552039</v>
      </c>
      <c r="S60" s="241">
        <v>181468</v>
      </c>
      <c r="T60" s="241">
        <v>518062</v>
      </c>
      <c r="U60" s="240">
        <v>5</v>
      </c>
      <c r="V60" s="3">
        <f>Sheet1!$C$2</f>
        <v>17600</v>
      </c>
      <c r="W60" s="3">
        <f>U60*V60</f>
        <v>88000</v>
      </c>
      <c r="X60" s="3">
        <f>SUM(W59:W60)</f>
        <v>103400</v>
      </c>
      <c r="Y60" s="245"/>
    </row>
    <row r="61" spans="3:25" x14ac:dyDescent="0.2">
      <c r="C61" s="244"/>
      <c r="O61" s="240"/>
      <c r="P61" s="240"/>
      <c r="Q61" s="240"/>
      <c r="R61" s="240"/>
      <c r="S61" s="240"/>
      <c r="T61" s="240"/>
      <c r="U61" s="240"/>
      <c r="Y61" s="245"/>
    </row>
    <row r="62" spans="3:25" x14ac:dyDescent="0.2">
      <c r="C62" s="244"/>
      <c r="D62" s="236" t="s">
        <v>129</v>
      </c>
      <c r="E62" s="288">
        <v>3</v>
      </c>
      <c r="F62" s="288"/>
      <c r="G62" s="288"/>
      <c r="H62" s="288"/>
      <c r="I62" s="288"/>
      <c r="O62" s="237" t="s">
        <v>129</v>
      </c>
      <c r="P62" s="289">
        <v>3</v>
      </c>
      <c r="Q62" s="289"/>
      <c r="R62" s="289"/>
      <c r="S62" s="289"/>
      <c r="T62" s="289"/>
      <c r="U62" s="240"/>
      <c r="Y62" s="245"/>
    </row>
    <row r="63" spans="3:25" x14ac:dyDescent="0.2">
      <c r="C63" s="244"/>
      <c r="D63">
        <v>1</v>
      </c>
      <c r="E63" s="290">
        <v>1618206</v>
      </c>
      <c r="F63" s="290">
        <v>791731</v>
      </c>
      <c r="G63" s="290">
        <v>628653</v>
      </c>
      <c r="H63" s="290">
        <v>162674</v>
      </c>
      <c r="I63" s="290">
        <v>230720</v>
      </c>
      <c r="J63">
        <v>1</v>
      </c>
      <c r="K63" s="3">
        <f>Sheet1!$B$2</f>
        <v>15400.000000000002</v>
      </c>
      <c r="L63" s="3">
        <f>J63*K63</f>
        <v>15400.000000000002</v>
      </c>
      <c r="O63" s="240">
        <v>1</v>
      </c>
      <c r="P63" s="291">
        <v>600143</v>
      </c>
      <c r="Q63" s="291"/>
      <c r="R63" s="291"/>
      <c r="S63" s="291"/>
      <c r="T63" s="291"/>
      <c r="U63" s="240">
        <v>1</v>
      </c>
      <c r="V63" s="3">
        <f>Sheet1!$B$2</f>
        <v>15400.000000000002</v>
      </c>
      <c r="W63" s="3">
        <f>U63*V63</f>
        <v>15400.000000000002</v>
      </c>
      <c r="Y63" s="245"/>
    </row>
    <row r="64" spans="3:25" x14ac:dyDescent="0.2">
      <c r="C64" s="244"/>
      <c r="D64">
        <v>2</v>
      </c>
      <c r="E64" s="175">
        <v>286876</v>
      </c>
      <c r="F64" s="175">
        <v>1283619</v>
      </c>
      <c r="G64" s="175">
        <v>745397</v>
      </c>
      <c r="H64" s="175">
        <v>783621</v>
      </c>
      <c r="I64" s="175">
        <v>863036</v>
      </c>
      <c r="J64">
        <v>5</v>
      </c>
      <c r="K64" s="3">
        <f>Sheet1!$C$2</f>
        <v>17600</v>
      </c>
      <c r="L64" s="3">
        <f>J64*K64</f>
        <v>88000</v>
      </c>
      <c r="M64" s="3">
        <f>SUM(L63:L64)</f>
        <v>103400</v>
      </c>
      <c r="O64" s="240">
        <v>2</v>
      </c>
      <c r="P64" s="241">
        <v>1389461</v>
      </c>
      <c r="Q64" s="241">
        <v>1523853</v>
      </c>
      <c r="R64" s="241">
        <v>1831937</v>
      </c>
      <c r="S64" s="241">
        <v>729333</v>
      </c>
      <c r="T64" s="241">
        <v>82622</v>
      </c>
      <c r="U64" s="240">
        <v>5</v>
      </c>
      <c r="V64" s="3">
        <f>Sheet1!$C$2</f>
        <v>17600</v>
      </c>
      <c r="W64" s="3">
        <f>U64*V64</f>
        <v>88000</v>
      </c>
      <c r="X64" s="3">
        <f>SUM(W63:W64)</f>
        <v>103400</v>
      </c>
      <c r="Y64" s="245"/>
    </row>
    <row r="65" spans="3:25" x14ac:dyDescent="0.2">
      <c r="C65" s="244"/>
      <c r="O65" s="240"/>
      <c r="P65" s="240"/>
      <c r="Q65" s="240"/>
      <c r="R65" s="240"/>
      <c r="S65" s="240"/>
      <c r="T65" s="240"/>
      <c r="U65" s="240"/>
      <c r="Y65" s="245"/>
    </row>
    <row r="66" spans="3:25" x14ac:dyDescent="0.2">
      <c r="C66" s="244"/>
      <c r="D66" s="236" t="s">
        <v>129</v>
      </c>
      <c r="E66" s="288">
        <v>4</v>
      </c>
      <c r="F66" s="288"/>
      <c r="G66" s="288"/>
      <c r="H66" s="288"/>
      <c r="I66" s="288"/>
      <c r="O66" s="237" t="s">
        <v>129</v>
      </c>
      <c r="P66" s="289">
        <v>4</v>
      </c>
      <c r="Q66" s="289"/>
      <c r="R66" s="289"/>
      <c r="S66" s="289"/>
      <c r="T66" s="289"/>
      <c r="U66" s="240"/>
      <c r="Y66" s="245"/>
    </row>
    <row r="67" spans="3:25" x14ac:dyDescent="0.2">
      <c r="C67" s="244"/>
      <c r="D67">
        <v>1</v>
      </c>
      <c r="E67" s="290">
        <v>1382224</v>
      </c>
      <c r="F67" s="290">
        <v>321037</v>
      </c>
      <c r="G67" s="290">
        <v>68393</v>
      </c>
      <c r="H67" s="290">
        <v>870462</v>
      </c>
      <c r="I67" s="290">
        <v>1097171</v>
      </c>
      <c r="J67">
        <v>1</v>
      </c>
      <c r="K67" s="3">
        <f>Sheet1!$B$2</f>
        <v>15400.000000000002</v>
      </c>
      <c r="L67" s="3">
        <f>J67*K67</f>
        <v>15400.000000000002</v>
      </c>
      <c r="O67" s="240">
        <v>1</v>
      </c>
      <c r="P67" s="291">
        <v>247667</v>
      </c>
      <c r="Q67" s="291"/>
      <c r="R67" s="291"/>
      <c r="S67" s="291"/>
      <c r="T67" s="291"/>
      <c r="U67" s="240">
        <v>1</v>
      </c>
      <c r="V67" s="3">
        <f>Sheet1!$B$2</f>
        <v>15400.000000000002</v>
      </c>
      <c r="W67" s="3">
        <f>U67*V67</f>
        <v>15400.000000000002</v>
      </c>
      <c r="Y67" s="245"/>
    </row>
    <row r="68" spans="3:25" x14ac:dyDescent="0.2">
      <c r="C68" s="244"/>
      <c r="D68">
        <v>2</v>
      </c>
      <c r="E68" s="175">
        <v>58239</v>
      </c>
      <c r="F68" s="175">
        <v>1925850</v>
      </c>
      <c r="G68" s="175">
        <v>369342</v>
      </c>
      <c r="H68" s="175">
        <v>1162150</v>
      </c>
      <c r="I68" s="175">
        <v>1096521</v>
      </c>
      <c r="J68">
        <v>5</v>
      </c>
      <c r="K68" s="3">
        <f>Sheet1!$C$2</f>
        <v>17600</v>
      </c>
      <c r="L68" s="3">
        <f>J68*K68</f>
        <v>88000</v>
      </c>
      <c r="M68" s="3">
        <f>SUM(L67:L68)</f>
        <v>103400</v>
      </c>
      <c r="O68" s="240">
        <v>2</v>
      </c>
      <c r="P68" s="241">
        <v>1667600</v>
      </c>
      <c r="Q68" s="241">
        <v>1689557</v>
      </c>
      <c r="R68" s="241">
        <v>837840</v>
      </c>
      <c r="S68" s="241">
        <v>343097</v>
      </c>
      <c r="T68" s="241">
        <v>1094996</v>
      </c>
      <c r="U68" s="240">
        <v>5</v>
      </c>
      <c r="V68" s="3">
        <f>Sheet1!$C$2</f>
        <v>17600</v>
      </c>
      <c r="W68" s="3">
        <f>U68*V68</f>
        <v>88000</v>
      </c>
      <c r="X68" s="3">
        <f>SUM(W67:W68)</f>
        <v>103400</v>
      </c>
      <c r="Y68" s="245"/>
    </row>
    <row r="69" spans="3:25" x14ac:dyDescent="0.2">
      <c r="C69" s="244"/>
      <c r="O69" s="240"/>
      <c r="P69" s="240"/>
      <c r="Q69" s="240"/>
      <c r="R69" s="240"/>
      <c r="S69" s="240"/>
      <c r="T69" s="240"/>
      <c r="U69" s="240"/>
      <c r="Y69" s="245"/>
    </row>
    <row r="70" spans="3:25" x14ac:dyDescent="0.2">
      <c r="C70" s="244"/>
      <c r="D70" s="236" t="s">
        <v>129</v>
      </c>
      <c r="E70" s="288">
        <v>5</v>
      </c>
      <c r="F70" s="288"/>
      <c r="G70" s="288"/>
      <c r="H70" s="288"/>
      <c r="I70" s="288"/>
      <c r="O70" s="237" t="s">
        <v>129</v>
      </c>
      <c r="P70" s="289">
        <v>5</v>
      </c>
      <c r="Q70" s="289"/>
      <c r="R70" s="289"/>
      <c r="S70" s="289"/>
      <c r="T70" s="289"/>
      <c r="U70" s="240"/>
      <c r="Y70" s="245"/>
    </row>
    <row r="71" spans="3:25" x14ac:dyDescent="0.2">
      <c r="C71" s="244"/>
      <c r="D71">
        <v>1</v>
      </c>
      <c r="E71" s="290">
        <v>1906635</v>
      </c>
      <c r="F71" s="290">
        <v>1082829</v>
      </c>
      <c r="G71" s="290">
        <v>193181</v>
      </c>
      <c r="H71" s="290">
        <v>943744</v>
      </c>
      <c r="I71" s="290">
        <v>1917247</v>
      </c>
      <c r="J71">
        <v>1</v>
      </c>
      <c r="K71" s="3">
        <f>Sheet1!$B$2</f>
        <v>15400.000000000002</v>
      </c>
      <c r="L71" s="3">
        <f>J71*K71</f>
        <v>15400.000000000002</v>
      </c>
      <c r="O71" s="240">
        <v>1</v>
      </c>
      <c r="P71" s="291">
        <v>1237279</v>
      </c>
      <c r="Q71" s="291"/>
      <c r="R71" s="291"/>
      <c r="S71" s="291"/>
      <c r="T71" s="291"/>
      <c r="U71" s="240">
        <v>1</v>
      </c>
      <c r="V71" s="3">
        <f>Sheet1!$B$2</f>
        <v>15400.000000000002</v>
      </c>
      <c r="W71" s="3">
        <f>U71*V71</f>
        <v>15400.000000000002</v>
      </c>
      <c r="Y71" s="245"/>
    </row>
    <row r="72" spans="3:25" x14ac:dyDescent="0.2">
      <c r="C72" s="244"/>
      <c r="D72">
        <v>2</v>
      </c>
      <c r="E72" s="175">
        <v>250663</v>
      </c>
      <c r="F72" s="175">
        <v>345847</v>
      </c>
      <c r="G72" s="175">
        <v>50651</v>
      </c>
      <c r="H72" s="175">
        <v>377986</v>
      </c>
      <c r="I72" s="175">
        <v>1298238</v>
      </c>
      <c r="J72">
        <v>5</v>
      </c>
      <c r="K72" s="3">
        <f>Sheet1!$C$2</f>
        <v>17600</v>
      </c>
      <c r="L72" s="3">
        <f>J72*K72</f>
        <v>88000</v>
      </c>
      <c r="M72" s="3">
        <f>SUM(L71:L72)</f>
        <v>103400</v>
      </c>
      <c r="O72" s="240">
        <v>2</v>
      </c>
      <c r="P72" s="241">
        <v>897182</v>
      </c>
      <c r="Q72" s="241">
        <v>272563</v>
      </c>
      <c r="R72" s="241">
        <v>730481</v>
      </c>
      <c r="S72" s="241">
        <v>1217229</v>
      </c>
      <c r="T72" s="241">
        <v>742204</v>
      </c>
      <c r="U72" s="240">
        <v>5</v>
      </c>
      <c r="V72" s="3">
        <f>Sheet1!$C$2</f>
        <v>17600</v>
      </c>
      <c r="W72" s="3">
        <f>U72*V72</f>
        <v>88000</v>
      </c>
      <c r="X72" s="3">
        <f>SUM(W71:W72)</f>
        <v>103400</v>
      </c>
      <c r="Y72" s="245"/>
    </row>
    <row r="73" spans="3:25" x14ac:dyDescent="0.2">
      <c r="C73" s="244"/>
      <c r="M73" s="3">
        <f>SUM(M56:M72)</f>
        <v>517000</v>
      </c>
      <c r="O73" s="240"/>
      <c r="P73" s="240"/>
      <c r="Q73" s="240"/>
      <c r="R73" s="240"/>
      <c r="S73" s="240"/>
      <c r="T73" s="240"/>
      <c r="U73" s="240"/>
      <c r="X73" s="18">
        <f>SUM(X56:X72)</f>
        <v>517000</v>
      </c>
      <c r="Y73" s="245"/>
    </row>
    <row r="74" spans="3:25" x14ac:dyDescent="0.2">
      <c r="C74" s="244"/>
      <c r="I74" s="236" t="s">
        <v>129</v>
      </c>
      <c r="J74" t="s">
        <v>117</v>
      </c>
      <c r="O74" s="240"/>
      <c r="P74" s="240"/>
      <c r="Q74" s="240"/>
      <c r="R74" s="240"/>
      <c r="S74" s="240"/>
      <c r="T74" s="237" t="s">
        <v>129</v>
      </c>
      <c r="U74" s="240" t="s">
        <v>117</v>
      </c>
      <c r="V74" s="240"/>
      <c r="W74" s="240"/>
      <c r="X74" s="240"/>
      <c r="Y74" s="245"/>
    </row>
    <row r="75" spans="3:25" x14ac:dyDescent="0.2">
      <c r="C75" s="244"/>
      <c r="I75">
        <v>1</v>
      </c>
      <c r="J75">
        <v>5</v>
      </c>
      <c r="O75" s="240"/>
      <c r="P75" s="240"/>
      <c r="Q75" s="240"/>
      <c r="R75" s="240"/>
      <c r="S75" s="240"/>
      <c r="T75" s="240">
        <v>1</v>
      </c>
      <c r="U75" s="240">
        <v>5</v>
      </c>
      <c r="V75" s="240"/>
      <c r="W75" s="240"/>
      <c r="X75" s="240"/>
      <c r="Y75" s="245"/>
    </row>
    <row r="76" spans="3:25" x14ac:dyDescent="0.2">
      <c r="C76" s="244"/>
      <c r="I76">
        <v>2</v>
      </c>
      <c r="J76">
        <v>25</v>
      </c>
      <c r="O76" s="240"/>
      <c r="P76" s="240"/>
      <c r="Q76" s="240"/>
      <c r="R76" s="240"/>
      <c r="S76" s="240"/>
      <c r="T76" s="240">
        <v>2</v>
      </c>
      <c r="U76" s="240">
        <v>25</v>
      </c>
      <c r="V76" s="240"/>
      <c r="W76" s="240"/>
      <c r="X76" s="240"/>
      <c r="Y76" s="245"/>
    </row>
    <row r="77" spans="3:25" x14ac:dyDescent="0.2">
      <c r="C77" s="244"/>
      <c r="Y77" s="245"/>
    </row>
    <row r="78" spans="3:25" x14ac:dyDescent="0.2">
      <c r="C78" s="244"/>
      <c r="Y78" s="245"/>
    </row>
    <row r="79" spans="3:25" x14ac:dyDescent="0.2">
      <c r="C79" s="244"/>
      <c r="U79" s="240" t="s">
        <v>117</v>
      </c>
      <c r="V79" s="3">
        <f>SUM(X73,M73,X49,M49)</f>
        <v>2068000</v>
      </c>
      <c r="Y79" s="245"/>
    </row>
    <row r="80" spans="3:25" ht="17" thickBot="1" x14ac:dyDescent="0.25">
      <c r="C80" s="246"/>
      <c r="D80" s="247"/>
      <c r="E80" s="247"/>
      <c r="F80" s="247"/>
      <c r="G80" s="247"/>
      <c r="H80" s="247"/>
      <c r="I80" s="247"/>
      <c r="J80" s="247"/>
      <c r="K80" s="247"/>
      <c r="L80" s="247"/>
      <c r="M80" s="247"/>
      <c r="N80" s="247"/>
      <c r="O80" s="247"/>
      <c r="P80" s="247"/>
      <c r="Q80" s="247"/>
      <c r="R80" s="247"/>
      <c r="S80" s="247"/>
      <c r="T80" s="247"/>
      <c r="U80" s="247"/>
      <c r="V80" s="247"/>
      <c r="W80" s="247"/>
      <c r="X80" s="247"/>
      <c r="Y80" s="248"/>
    </row>
  </sheetData>
  <sheetProtection sheet="1" objects="1" scenarios="1" selectLockedCells="1"/>
  <mergeCells count="48">
    <mergeCell ref="E12:I12"/>
    <mergeCell ref="E3:I3"/>
    <mergeCell ref="E4:I4"/>
    <mergeCell ref="E7:I7"/>
    <mergeCell ref="E8:I8"/>
    <mergeCell ref="E11:I11"/>
    <mergeCell ref="E15:I15"/>
    <mergeCell ref="E16:I16"/>
    <mergeCell ref="E19:I19"/>
    <mergeCell ref="E30:I30"/>
    <mergeCell ref="E31:I31"/>
    <mergeCell ref="P39:T39"/>
    <mergeCell ref="P42:T42"/>
    <mergeCell ref="P43:T43"/>
    <mergeCell ref="E34:I34"/>
    <mergeCell ref="E35:I35"/>
    <mergeCell ref="E38:I38"/>
    <mergeCell ref="E39:I39"/>
    <mergeCell ref="E42:I42"/>
    <mergeCell ref="E43:I43"/>
    <mergeCell ref="P30:T30"/>
    <mergeCell ref="P31:T31"/>
    <mergeCell ref="P34:T34"/>
    <mergeCell ref="P35:T35"/>
    <mergeCell ref="P38:T38"/>
    <mergeCell ref="P46:T46"/>
    <mergeCell ref="P47:T47"/>
    <mergeCell ref="E54:I54"/>
    <mergeCell ref="P54:T54"/>
    <mergeCell ref="E55:I55"/>
    <mergeCell ref="P55:T55"/>
    <mergeCell ref="E46:I46"/>
    <mergeCell ref="E58:I58"/>
    <mergeCell ref="P58:T58"/>
    <mergeCell ref="E59:I59"/>
    <mergeCell ref="P59:T59"/>
    <mergeCell ref="E62:I62"/>
    <mergeCell ref="P62:T62"/>
    <mergeCell ref="E70:I70"/>
    <mergeCell ref="P70:T70"/>
    <mergeCell ref="E71:I71"/>
    <mergeCell ref="P71:T71"/>
    <mergeCell ref="E63:I63"/>
    <mergeCell ref="P63:T63"/>
    <mergeCell ref="E66:I66"/>
    <mergeCell ref="P66:T66"/>
    <mergeCell ref="E67:I67"/>
    <mergeCell ref="P67:T67"/>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CEAD2-3A03-A54A-9F68-CD565DB5D2D3}">
  <sheetPr codeName="Sheet17"/>
  <dimension ref="B1:K71"/>
  <sheetViews>
    <sheetView zoomScale="202" zoomScaleNormal="202" workbookViewId="0">
      <pane ySplit="1" topLeftCell="A58" activePane="bottomLeft" state="frozen"/>
      <selection pane="bottomLeft" activeCell="G73" sqref="G73"/>
    </sheetView>
  </sheetViews>
  <sheetFormatPr baseColWidth="10" defaultRowHeight="16" x14ac:dyDescent="0.2"/>
  <sheetData>
    <row r="1" spans="2:10" x14ac:dyDescent="0.2">
      <c r="B1" s="195">
        <f ca="1">RAND()*1000000+1000000</f>
        <v>1577396.7073740861</v>
      </c>
      <c r="C1" s="175">
        <f t="shared" ref="C1:H1" ca="1" si="0">RAND()*1000000+1000000</f>
        <v>1276846.0627827751</v>
      </c>
      <c r="D1" s="178">
        <f t="shared" ca="1" si="0"/>
        <v>1903844.419765525</v>
      </c>
      <c r="E1" s="181">
        <f t="shared" ca="1" si="0"/>
        <v>1834790.315157861</v>
      </c>
      <c r="F1" s="188">
        <f t="shared" ca="1" si="0"/>
        <v>1404004.7564930085</v>
      </c>
      <c r="G1" s="192">
        <f t="shared" ca="1" si="0"/>
        <v>1528833.307315151</v>
      </c>
      <c r="H1" s="199">
        <f t="shared" ca="1" si="0"/>
        <v>1566214.1690835538</v>
      </c>
    </row>
    <row r="2" spans="2:10" ht="17" thickBot="1" x14ac:dyDescent="0.25">
      <c r="B2" s="233"/>
      <c r="C2" s="233"/>
      <c r="D2" s="233"/>
      <c r="E2" s="233"/>
      <c r="F2" s="233"/>
      <c r="G2" s="233"/>
      <c r="H2" s="233"/>
    </row>
    <row r="3" spans="2:10" x14ac:dyDescent="0.2">
      <c r="B3" s="194" t="s">
        <v>139</v>
      </c>
      <c r="C3" s="182" t="s">
        <v>140</v>
      </c>
      <c r="D3" s="183" t="s">
        <v>141</v>
      </c>
      <c r="E3" s="184" t="s">
        <v>142</v>
      </c>
      <c r="F3" s="187" t="s">
        <v>143</v>
      </c>
      <c r="G3" s="191" t="s">
        <v>145</v>
      </c>
      <c r="H3" s="228" t="s">
        <v>146</v>
      </c>
    </row>
    <row r="4" spans="2:10" x14ac:dyDescent="0.2">
      <c r="B4" s="194">
        <v>1</v>
      </c>
      <c r="C4" s="182">
        <v>2</v>
      </c>
      <c r="D4" s="183">
        <v>3</v>
      </c>
      <c r="E4" s="184">
        <v>4</v>
      </c>
      <c r="F4" s="187">
        <v>5</v>
      </c>
      <c r="G4" s="191">
        <v>6</v>
      </c>
      <c r="H4" s="229">
        <v>7</v>
      </c>
    </row>
    <row r="5" spans="2:10" ht="17" thickBot="1" x14ac:dyDescent="0.25">
      <c r="B5" s="193">
        <f>'Revenue Share Capped'!$J$11</f>
        <v>15400.000000000002</v>
      </c>
      <c r="C5" s="174">
        <f>'Revenue Share Capped'!$J$12</f>
        <v>17600</v>
      </c>
      <c r="D5" s="177">
        <f>'Revenue Share Capped'!$J$13</f>
        <v>11000</v>
      </c>
      <c r="E5" s="180">
        <f>'Revenue Share Capped'!$J$14</f>
        <v>6600</v>
      </c>
      <c r="F5" s="186">
        <f>'Revenue Share Capped'!$J$15</f>
        <v>4400</v>
      </c>
      <c r="G5" s="190">
        <f>'Revenue Share Capped'!$J$16</f>
        <v>11000</v>
      </c>
      <c r="H5" s="230">
        <f>'Revenue Share Capped'!J17</f>
        <v>22000</v>
      </c>
    </row>
    <row r="6" spans="2:10" ht="17" thickBot="1" x14ac:dyDescent="0.25">
      <c r="B6" s="204"/>
      <c r="C6" s="204"/>
      <c r="D6" s="204"/>
      <c r="E6" s="204"/>
      <c r="F6" s="204"/>
      <c r="G6" s="204"/>
      <c r="H6" s="204"/>
    </row>
    <row r="7" spans="2:10" ht="17" thickBot="1" x14ac:dyDescent="0.25">
      <c r="B7" s="194">
        <v>1</v>
      </c>
      <c r="C7" s="182">
        <v>2</v>
      </c>
      <c r="D7" s="183">
        <v>3</v>
      </c>
      <c r="E7" s="184">
        <v>4</v>
      </c>
      <c r="F7" s="187">
        <v>5</v>
      </c>
      <c r="G7" s="191">
        <v>6</v>
      </c>
      <c r="H7" s="205">
        <v>7</v>
      </c>
      <c r="I7" s="203">
        <f>B8</f>
        <v>22000</v>
      </c>
    </row>
    <row r="8" spans="2:10" x14ac:dyDescent="0.2">
      <c r="B8" s="3">
        <f>H5</f>
        <v>22000</v>
      </c>
      <c r="C8" s="194">
        <v>1</v>
      </c>
      <c r="D8" s="182">
        <v>2</v>
      </c>
      <c r="E8" s="183">
        <v>3</v>
      </c>
      <c r="F8" s="184">
        <v>4</v>
      </c>
      <c r="G8" s="187">
        <v>5</v>
      </c>
      <c r="H8" s="191">
        <v>6</v>
      </c>
      <c r="I8" s="203">
        <f>C9</f>
        <v>11000</v>
      </c>
    </row>
    <row r="9" spans="2:10" x14ac:dyDescent="0.2">
      <c r="C9" s="3">
        <f>G5</f>
        <v>11000</v>
      </c>
      <c r="D9" s="194">
        <v>1</v>
      </c>
      <c r="E9" s="182">
        <v>2</v>
      </c>
      <c r="F9" s="183">
        <v>3</v>
      </c>
      <c r="G9" s="184">
        <v>4</v>
      </c>
      <c r="H9" s="187">
        <v>5</v>
      </c>
      <c r="I9" s="203">
        <f>D10</f>
        <v>4400</v>
      </c>
    </row>
    <row r="10" spans="2:10" x14ac:dyDescent="0.2">
      <c r="D10" s="3">
        <f>F5</f>
        <v>4400</v>
      </c>
      <c r="E10" s="194">
        <v>1</v>
      </c>
      <c r="F10" s="182">
        <v>2</v>
      </c>
      <c r="G10" s="183">
        <v>3</v>
      </c>
      <c r="H10" s="184">
        <v>4</v>
      </c>
      <c r="I10" s="203">
        <f>E11</f>
        <v>6600</v>
      </c>
    </row>
    <row r="11" spans="2:10" x14ac:dyDescent="0.2">
      <c r="E11" s="3">
        <f>E5</f>
        <v>6600</v>
      </c>
      <c r="F11" s="194">
        <v>1</v>
      </c>
      <c r="G11" s="182">
        <v>2</v>
      </c>
      <c r="H11" s="183">
        <v>3</v>
      </c>
      <c r="I11" s="203">
        <f>F12</f>
        <v>11000</v>
      </c>
    </row>
    <row r="12" spans="2:10" x14ac:dyDescent="0.2">
      <c r="F12" s="3">
        <f>D5</f>
        <v>11000</v>
      </c>
      <c r="G12" s="194">
        <v>1</v>
      </c>
      <c r="H12" s="182">
        <v>2</v>
      </c>
      <c r="I12" s="203">
        <f>G13</f>
        <v>17600</v>
      </c>
    </row>
    <row r="13" spans="2:10" x14ac:dyDescent="0.2">
      <c r="G13" s="3">
        <f>C5</f>
        <v>17600</v>
      </c>
      <c r="H13" s="194">
        <v>1</v>
      </c>
      <c r="I13" s="203">
        <f>H14</f>
        <v>15400.000000000002</v>
      </c>
    </row>
    <row r="14" spans="2:10" x14ac:dyDescent="0.2">
      <c r="H14" s="3">
        <f>B5</f>
        <v>15400.000000000002</v>
      </c>
      <c r="I14" s="234">
        <f>SUM(I7:I13)</f>
        <v>88000</v>
      </c>
      <c r="J14" s="234">
        <f>I14*2</f>
        <v>176000</v>
      </c>
    </row>
    <row r="15" spans="2:10" ht="17" thickBot="1" x14ac:dyDescent="0.25"/>
    <row r="16" spans="2:10" x14ac:dyDescent="0.2">
      <c r="C16" s="194" t="s">
        <v>139</v>
      </c>
      <c r="D16" s="182" t="s">
        <v>140</v>
      </c>
      <c r="E16" s="183" t="s">
        <v>141</v>
      </c>
      <c r="F16" s="184" t="s">
        <v>142</v>
      </c>
      <c r="G16" s="187" t="s">
        <v>143</v>
      </c>
      <c r="H16" s="225" t="s">
        <v>145</v>
      </c>
    </row>
    <row r="17" spans="3:11" x14ac:dyDescent="0.2">
      <c r="C17" s="194">
        <v>1</v>
      </c>
      <c r="D17" s="182">
        <v>2</v>
      </c>
      <c r="E17" s="183">
        <v>3</v>
      </c>
      <c r="F17" s="184">
        <v>4</v>
      </c>
      <c r="G17" s="187">
        <v>5</v>
      </c>
      <c r="H17" s="226">
        <v>6</v>
      </c>
    </row>
    <row r="18" spans="3:11" ht="17" thickBot="1" x14ac:dyDescent="0.25">
      <c r="C18" s="193">
        <f>'Revenue Share Capped'!$J$11</f>
        <v>15400.000000000002</v>
      </c>
      <c r="D18" s="174">
        <f>'Revenue Share Capped'!$J$12</f>
        <v>17600</v>
      </c>
      <c r="E18" s="177">
        <f>'Revenue Share Capped'!$J$13</f>
        <v>11000</v>
      </c>
      <c r="F18" s="180">
        <f>'Revenue Share Capped'!$J$14</f>
        <v>6600</v>
      </c>
      <c r="G18" s="186">
        <f>'Revenue Share Capped'!$J$15</f>
        <v>4400</v>
      </c>
      <c r="H18" s="227">
        <f>'Revenue Share Capped'!$J$16</f>
        <v>11000</v>
      </c>
    </row>
    <row r="19" spans="3:11" ht="17" thickBot="1" x14ac:dyDescent="0.25">
      <c r="C19" s="204"/>
      <c r="D19" s="204"/>
      <c r="E19" s="204"/>
      <c r="F19" s="204"/>
      <c r="G19" s="204"/>
      <c r="H19" s="204"/>
      <c r="I19" s="203"/>
    </row>
    <row r="20" spans="3:11" ht="17" thickBot="1" x14ac:dyDescent="0.25">
      <c r="C20" s="194">
        <v>1</v>
      </c>
      <c r="D20" s="182">
        <v>2</v>
      </c>
      <c r="E20" s="183">
        <v>3</v>
      </c>
      <c r="F20" s="184">
        <v>4</v>
      </c>
      <c r="G20" s="187">
        <v>5</v>
      </c>
      <c r="H20" s="224">
        <v>6</v>
      </c>
      <c r="I20" s="203">
        <f>C21</f>
        <v>11000</v>
      </c>
    </row>
    <row r="21" spans="3:11" x14ac:dyDescent="0.2">
      <c r="C21" s="3">
        <f>H18</f>
        <v>11000</v>
      </c>
      <c r="D21" s="194">
        <v>1</v>
      </c>
      <c r="E21" s="182">
        <v>2</v>
      </c>
      <c r="F21" s="183">
        <v>3</v>
      </c>
      <c r="G21" s="184">
        <v>4</v>
      </c>
      <c r="H21" s="187">
        <v>5</v>
      </c>
      <c r="I21" s="203">
        <f>D22</f>
        <v>4400</v>
      </c>
    </row>
    <row r="22" spans="3:11" x14ac:dyDescent="0.2">
      <c r="D22" s="3">
        <f>G18</f>
        <v>4400</v>
      </c>
      <c r="E22" s="194">
        <v>1</v>
      </c>
      <c r="F22" s="182">
        <v>2</v>
      </c>
      <c r="G22" s="183">
        <v>3</v>
      </c>
      <c r="H22" s="184">
        <v>4</v>
      </c>
      <c r="I22" s="203">
        <f>E23</f>
        <v>6600</v>
      </c>
    </row>
    <row r="23" spans="3:11" x14ac:dyDescent="0.2">
      <c r="E23" s="3">
        <f>F18</f>
        <v>6600</v>
      </c>
      <c r="F23" s="194">
        <v>1</v>
      </c>
      <c r="G23" s="182">
        <v>2</v>
      </c>
      <c r="H23" s="183">
        <v>3</v>
      </c>
      <c r="I23" s="203">
        <f>F24</f>
        <v>17600</v>
      </c>
    </row>
    <row r="24" spans="3:11" x14ac:dyDescent="0.2">
      <c r="F24" s="3">
        <f>D18</f>
        <v>17600</v>
      </c>
      <c r="G24" s="194">
        <v>1</v>
      </c>
      <c r="H24" s="182">
        <v>2</v>
      </c>
      <c r="I24" s="203">
        <f>G25</f>
        <v>17600</v>
      </c>
    </row>
    <row r="25" spans="3:11" x14ac:dyDescent="0.2">
      <c r="G25" s="3">
        <f>D18</f>
        <v>17600</v>
      </c>
      <c r="H25" s="194">
        <v>1</v>
      </c>
      <c r="I25" s="203">
        <f>H26</f>
        <v>15400.000000000002</v>
      </c>
    </row>
    <row r="26" spans="3:11" x14ac:dyDescent="0.2">
      <c r="H26" s="3">
        <f>C18</f>
        <v>15400.000000000002</v>
      </c>
      <c r="I26" s="234">
        <f>SUM(I20:I25)</f>
        <v>72600</v>
      </c>
      <c r="J26" s="234">
        <f>I26*2</f>
        <v>145200</v>
      </c>
      <c r="K26" s="234">
        <f>$J$14-J26</f>
        <v>30800</v>
      </c>
    </row>
    <row r="27" spans="3:11" ht="17" thickBot="1" x14ac:dyDescent="0.25"/>
    <row r="28" spans="3:11" x14ac:dyDescent="0.2">
      <c r="D28" s="194" t="s">
        <v>139</v>
      </c>
      <c r="E28" s="182" t="s">
        <v>140</v>
      </c>
      <c r="F28" s="183" t="s">
        <v>141</v>
      </c>
      <c r="G28" s="184" t="s">
        <v>142</v>
      </c>
      <c r="H28" s="221" t="s">
        <v>143</v>
      </c>
    </row>
    <row r="29" spans="3:11" x14ac:dyDescent="0.2">
      <c r="D29" s="194">
        <v>1</v>
      </c>
      <c r="E29" s="182">
        <v>2</v>
      </c>
      <c r="F29" s="183">
        <v>3</v>
      </c>
      <c r="G29" s="184">
        <v>4</v>
      </c>
      <c r="H29" s="222">
        <v>5</v>
      </c>
    </row>
    <row r="30" spans="3:11" ht="17" thickBot="1" x14ac:dyDescent="0.25">
      <c r="D30" s="193">
        <f>'Revenue Share Capped'!$J$11</f>
        <v>15400.000000000002</v>
      </c>
      <c r="E30" s="174">
        <f>'Revenue Share Capped'!$J$12</f>
        <v>17600</v>
      </c>
      <c r="F30" s="177">
        <f>'Revenue Share Capped'!$J$13</f>
        <v>11000</v>
      </c>
      <c r="G30" s="180">
        <f>'Revenue Share Capped'!$J$14</f>
        <v>6600</v>
      </c>
      <c r="H30" s="223">
        <f>'Revenue Share Capped'!$J$15</f>
        <v>4400</v>
      </c>
    </row>
    <row r="31" spans="3:11" ht="17" thickBot="1" x14ac:dyDescent="0.25">
      <c r="D31" s="204"/>
      <c r="E31" s="204"/>
      <c r="F31" s="204"/>
      <c r="G31" s="204"/>
      <c r="H31" s="204"/>
    </row>
    <row r="32" spans="3:11" ht="17" thickBot="1" x14ac:dyDescent="0.25">
      <c r="D32" s="194">
        <v>1</v>
      </c>
      <c r="E32" s="182">
        <v>2</v>
      </c>
      <c r="F32" s="183">
        <v>3</v>
      </c>
      <c r="G32" s="184">
        <v>4</v>
      </c>
      <c r="H32" s="206">
        <v>5</v>
      </c>
      <c r="I32" s="203">
        <f>D33</f>
        <v>4400</v>
      </c>
    </row>
    <row r="33" spans="4:11" x14ac:dyDescent="0.2">
      <c r="D33" s="3">
        <f>H30</f>
        <v>4400</v>
      </c>
      <c r="E33" s="194">
        <v>1</v>
      </c>
      <c r="F33" s="182">
        <v>2</v>
      </c>
      <c r="G33" s="183">
        <v>3</v>
      </c>
      <c r="H33" s="184">
        <v>4</v>
      </c>
      <c r="I33" s="203">
        <f>E34</f>
        <v>6600</v>
      </c>
    </row>
    <row r="34" spans="4:11" x14ac:dyDescent="0.2">
      <c r="E34" s="3">
        <f>G30</f>
        <v>6600</v>
      </c>
      <c r="F34" s="194">
        <v>1</v>
      </c>
      <c r="G34" s="182">
        <v>2</v>
      </c>
      <c r="H34" s="183">
        <v>3</v>
      </c>
      <c r="I34" s="203">
        <f>F35</f>
        <v>11000</v>
      </c>
    </row>
    <row r="35" spans="4:11" x14ac:dyDescent="0.2">
      <c r="F35" s="3">
        <f>F30</f>
        <v>11000</v>
      </c>
      <c r="G35" s="194">
        <v>1</v>
      </c>
      <c r="H35" s="182">
        <v>2</v>
      </c>
      <c r="I35" s="203">
        <f>G36</f>
        <v>17600</v>
      </c>
    </row>
    <row r="36" spans="4:11" x14ac:dyDescent="0.2">
      <c r="G36" s="3">
        <f>E30</f>
        <v>17600</v>
      </c>
      <c r="H36" s="194">
        <v>1</v>
      </c>
      <c r="I36" s="203">
        <f>H37</f>
        <v>15400.000000000002</v>
      </c>
    </row>
    <row r="37" spans="4:11" x14ac:dyDescent="0.2">
      <c r="H37" s="3">
        <f>D30</f>
        <v>15400.000000000002</v>
      </c>
      <c r="I37" s="234">
        <f>SUM(I32:I36)</f>
        <v>55000</v>
      </c>
      <c r="J37" s="234">
        <f>I37*2</f>
        <v>110000</v>
      </c>
      <c r="K37" s="234">
        <f>$J$14-J37</f>
        <v>66000</v>
      </c>
    </row>
    <row r="38" spans="4:11" ht="17" thickBot="1" x14ac:dyDescent="0.25"/>
    <row r="39" spans="4:11" x14ac:dyDescent="0.2">
      <c r="E39" s="194" t="s">
        <v>139</v>
      </c>
      <c r="F39" s="182" t="s">
        <v>140</v>
      </c>
      <c r="G39" s="183" t="s">
        <v>141</v>
      </c>
      <c r="H39" s="218" t="s">
        <v>142</v>
      </c>
    </row>
    <row r="40" spans="4:11" x14ac:dyDescent="0.2">
      <c r="E40" s="194">
        <v>1</v>
      </c>
      <c r="F40" s="182">
        <v>2</v>
      </c>
      <c r="G40" s="183">
        <v>3</v>
      </c>
      <c r="H40" s="219">
        <v>4</v>
      </c>
    </row>
    <row r="41" spans="4:11" ht="17" thickBot="1" x14ac:dyDescent="0.25">
      <c r="E41" s="193">
        <f>'Revenue Share Capped'!$J$11</f>
        <v>15400.000000000002</v>
      </c>
      <c r="F41" s="174">
        <f>'Revenue Share Capped'!$J$12</f>
        <v>17600</v>
      </c>
      <c r="G41" s="177">
        <f>'Revenue Share Capped'!$J$13</f>
        <v>11000</v>
      </c>
      <c r="H41" s="220">
        <f>'Revenue Share Capped'!$J$14</f>
        <v>6600</v>
      </c>
    </row>
    <row r="42" spans="4:11" x14ac:dyDescent="0.2">
      <c r="E42" s="204"/>
      <c r="F42" s="204"/>
      <c r="G42" s="204"/>
      <c r="H42" s="204"/>
    </row>
    <row r="43" spans="4:11" x14ac:dyDescent="0.2">
      <c r="E43" s="194">
        <v>1</v>
      </c>
      <c r="F43" s="182">
        <v>2</v>
      </c>
      <c r="G43" s="183">
        <v>3</v>
      </c>
      <c r="H43" s="184">
        <v>4</v>
      </c>
      <c r="I43" s="3">
        <f>E44</f>
        <v>6600</v>
      </c>
    </row>
    <row r="44" spans="4:11" x14ac:dyDescent="0.2">
      <c r="E44" s="3">
        <f>G30</f>
        <v>6600</v>
      </c>
      <c r="F44" s="194">
        <v>1</v>
      </c>
      <c r="G44" s="182">
        <v>2</v>
      </c>
      <c r="H44" s="183">
        <v>3</v>
      </c>
      <c r="I44" s="3">
        <f>F45</f>
        <v>11000</v>
      </c>
    </row>
    <row r="45" spans="4:11" x14ac:dyDescent="0.2">
      <c r="F45" s="3">
        <f>G41</f>
        <v>11000</v>
      </c>
      <c r="G45" s="194">
        <v>1</v>
      </c>
      <c r="H45" s="182">
        <v>2</v>
      </c>
      <c r="I45" s="3">
        <f>G46</f>
        <v>17600</v>
      </c>
    </row>
    <row r="46" spans="4:11" x14ac:dyDescent="0.2">
      <c r="G46" s="3">
        <f>F41</f>
        <v>17600</v>
      </c>
      <c r="H46" s="194">
        <v>1</v>
      </c>
      <c r="I46" s="3">
        <f>H47</f>
        <v>15400.000000000002</v>
      </c>
    </row>
    <row r="47" spans="4:11" x14ac:dyDescent="0.2">
      <c r="H47" s="3">
        <f>E41</f>
        <v>15400.000000000002</v>
      </c>
      <c r="I47" s="234">
        <f>SUM(I43:I46)</f>
        <v>50600</v>
      </c>
      <c r="J47" s="234">
        <f>I47*2</f>
        <v>101200</v>
      </c>
      <c r="K47" s="234">
        <f>$J$14-J47</f>
        <v>74800</v>
      </c>
    </row>
    <row r="48" spans="4:11" ht="17" thickBot="1" x14ac:dyDescent="0.25"/>
    <row r="49" spans="6:11" x14ac:dyDescent="0.2">
      <c r="F49" s="194" t="s">
        <v>139</v>
      </c>
      <c r="G49" s="182" t="s">
        <v>140</v>
      </c>
      <c r="H49" s="215" t="s">
        <v>141</v>
      </c>
    </row>
    <row r="50" spans="6:11" x14ac:dyDescent="0.2">
      <c r="F50" s="194">
        <v>1</v>
      </c>
      <c r="G50" s="182">
        <v>2</v>
      </c>
      <c r="H50" s="216">
        <v>3</v>
      </c>
    </row>
    <row r="51" spans="6:11" ht="17" thickBot="1" x14ac:dyDescent="0.25">
      <c r="F51" s="193">
        <f>'Revenue Share Capped'!$J$11</f>
        <v>15400.000000000002</v>
      </c>
      <c r="G51" s="174">
        <f>'Revenue Share Capped'!$J$12</f>
        <v>17600</v>
      </c>
      <c r="H51" s="217">
        <f>'Revenue Share Capped'!$J$13</f>
        <v>11000</v>
      </c>
    </row>
    <row r="52" spans="6:11" ht="17" thickBot="1" x14ac:dyDescent="0.25">
      <c r="F52" s="204"/>
      <c r="G52" s="204"/>
      <c r="H52" s="204"/>
    </row>
    <row r="53" spans="6:11" ht="17" thickBot="1" x14ac:dyDescent="0.25">
      <c r="F53" s="194">
        <v>1</v>
      </c>
      <c r="G53" s="182">
        <v>2</v>
      </c>
      <c r="H53" s="207">
        <v>3</v>
      </c>
      <c r="I53" s="3">
        <f>F54</f>
        <v>11000</v>
      </c>
    </row>
    <row r="54" spans="6:11" x14ac:dyDescent="0.2">
      <c r="F54" s="3">
        <f>H51</f>
        <v>11000</v>
      </c>
      <c r="G54" s="194">
        <v>1</v>
      </c>
      <c r="H54" s="182">
        <v>2</v>
      </c>
      <c r="I54" s="3">
        <f>G55</f>
        <v>17600</v>
      </c>
    </row>
    <row r="55" spans="6:11" x14ac:dyDescent="0.2">
      <c r="G55" s="3">
        <f>G51</f>
        <v>17600</v>
      </c>
      <c r="H55" s="194">
        <v>1</v>
      </c>
      <c r="I55" s="3">
        <f>H56</f>
        <v>15400.000000000002</v>
      </c>
    </row>
    <row r="56" spans="6:11" x14ac:dyDescent="0.2">
      <c r="H56" s="3">
        <f>F51</f>
        <v>15400.000000000002</v>
      </c>
      <c r="I56" s="235">
        <f>SUM(I53:I55)</f>
        <v>44000</v>
      </c>
      <c r="J56" s="235">
        <f>I56*2</f>
        <v>88000</v>
      </c>
      <c r="K56" s="234">
        <f>$J$14-J56</f>
        <v>88000</v>
      </c>
    </row>
    <row r="57" spans="6:11" ht="17" thickBot="1" x14ac:dyDescent="0.25"/>
    <row r="58" spans="6:11" x14ac:dyDescent="0.2">
      <c r="G58" s="194" t="s">
        <v>139</v>
      </c>
      <c r="H58" s="212" t="s">
        <v>140</v>
      </c>
    </row>
    <row r="59" spans="6:11" x14ac:dyDescent="0.2">
      <c r="G59" s="194">
        <v>1</v>
      </c>
      <c r="H59" s="213">
        <v>2</v>
      </c>
    </row>
    <row r="60" spans="6:11" ht="17" thickBot="1" x14ac:dyDescent="0.25">
      <c r="G60" s="193">
        <f>'Revenue Share Capped'!$J$11</f>
        <v>15400.000000000002</v>
      </c>
      <c r="H60" s="214">
        <f>'Revenue Share Capped'!$J$12</f>
        <v>17600</v>
      </c>
    </row>
    <row r="61" spans="6:11" x14ac:dyDescent="0.2">
      <c r="G61" s="204"/>
      <c r="H61" s="204"/>
    </row>
    <row r="62" spans="6:11" x14ac:dyDescent="0.2">
      <c r="G62" s="194">
        <v>1</v>
      </c>
      <c r="H62" s="182">
        <v>2</v>
      </c>
      <c r="I62" s="3">
        <f>G63</f>
        <v>17600</v>
      </c>
    </row>
    <row r="63" spans="6:11" x14ac:dyDescent="0.2">
      <c r="G63" s="3">
        <f>H60</f>
        <v>17600</v>
      </c>
      <c r="H63" s="194">
        <v>1</v>
      </c>
      <c r="I63" s="3">
        <f>H64</f>
        <v>15400.000000000002</v>
      </c>
    </row>
    <row r="64" spans="6:11" x14ac:dyDescent="0.2">
      <c r="H64" s="3">
        <f>G60</f>
        <v>15400.000000000002</v>
      </c>
      <c r="I64" s="235">
        <f>SUM(I61:I63)</f>
        <v>33000</v>
      </c>
      <c r="J64" s="235">
        <f>I64*2</f>
        <v>66000</v>
      </c>
      <c r="K64" s="234">
        <f>$J$14-J64</f>
        <v>110000</v>
      </c>
    </row>
    <row r="65" spans="8:11" ht="17" thickBot="1" x14ac:dyDescent="0.25"/>
    <row r="66" spans="8:11" x14ac:dyDescent="0.2">
      <c r="H66" s="209" t="s">
        <v>139</v>
      </c>
    </row>
    <row r="67" spans="8:11" x14ac:dyDescent="0.2">
      <c r="H67" s="210">
        <v>1</v>
      </c>
    </row>
    <row r="68" spans="8:11" ht="17" thickBot="1" x14ac:dyDescent="0.25">
      <c r="H68" s="211">
        <f>'Revenue Share Capped'!$J$11</f>
        <v>15400.000000000002</v>
      </c>
    </row>
    <row r="69" spans="8:11" ht="17" thickBot="1" x14ac:dyDescent="0.25">
      <c r="H69" s="204"/>
    </row>
    <row r="70" spans="8:11" ht="17" thickBot="1" x14ac:dyDescent="0.25">
      <c r="H70" s="208">
        <v>1</v>
      </c>
      <c r="I70" s="3">
        <f>H71</f>
        <v>15400.000000000002</v>
      </c>
    </row>
    <row r="71" spans="8:11" x14ac:dyDescent="0.2">
      <c r="H71" s="3">
        <f>H68</f>
        <v>15400.000000000002</v>
      </c>
      <c r="I71" s="235">
        <f>SUM(I68:I70)</f>
        <v>15400.000000000002</v>
      </c>
      <c r="J71" s="235">
        <f>I71*2</f>
        <v>30800.000000000004</v>
      </c>
      <c r="K71" s="234">
        <f>$J$14-J71</f>
        <v>145200</v>
      </c>
    </row>
  </sheetData>
  <sheetProtection sheet="1" objects="1" scenarios="1" selectLockedCell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0C503-7ECD-DC46-9E7F-497EBD2CBC1F}">
  <sheetPr codeName="Sheet9"/>
  <dimension ref="B2:P33"/>
  <sheetViews>
    <sheetView topLeftCell="A8" zoomScale="143" zoomScaleNormal="143" workbookViewId="0">
      <selection activeCell="D21" sqref="D21"/>
    </sheetView>
  </sheetViews>
  <sheetFormatPr baseColWidth="10" defaultColWidth="11" defaultRowHeight="16" x14ac:dyDescent="0.2"/>
  <cols>
    <col min="2" max="2" width="10.83203125" style="5"/>
    <col min="3" max="3" width="10" style="5" customWidth="1"/>
    <col min="4" max="4" width="8.5" style="5" customWidth="1"/>
    <col min="5" max="5" width="6.33203125" style="5" bestFit="1" customWidth="1"/>
    <col min="6" max="6" width="8.83203125" style="5" customWidth="1"/>
    <col min="7" max="7" width="9.5" style="5" bestFit="1" customWidth="1"/>
    <col min="8" max="8" width="10.83203125" style="5"/>
    <col min="9" max="9" width="11.5" style="5" bestFit="1" customWidth="1"/>
    <col min="10" max="10" width="10.83203125" style="5"/>
    <col min="11" max="11" width="10.83203125" style="51"/>
    <col min="12" max="12" width="6.6640625" customWidth="1"/>
    <col min="13" max="13" width="13.1640625" customWidth="1"/>
    <col min="15" max="16" width="14.6640625" style="5" bestFit="1" customWidth="1"/>
  </cols>
  <sheetData>
    <row r="2" spans="2:16" x14ac:dyDescent="0.2">
      <c r="B2" s="50" t="s">
        <v>166</v>
      </c>
    </row>
    <row r="3" spans="2:16" x14ac:dyDescent="0.2">
      <c r="B3" s="50" t="s">
        <v>167</v>
      </c>
      <c r="C3" s="50"/>
      <c r="D3" s="50"/>
      <c r="E3" s="50"/>
      <c r="F3" s="50"/>
    </row>
    <row r="4" spans="2:16" x14ac:dyDescent="0.2">
      <c r="B4" s="31" t="s">
        <v>170</v>
      </c>
      <c r="C4" s="50"/>
      <c r="D4" s="50"/>
      <c r="E4" s="50"/>
      <c r="F4" s="50"/>
    </row>
    <row r="5" spans="2:16" x14ac:dyDescent="0.2">
      <c r="B5" s="31" t="s">
        <v>171</v>
      </c>
      <c r="C5" s="50"/>
      <c r="D5" s="50"/>
      <c r="E5" s="50"/>
      <c r="F5" s="50"/>
    </row>
    <row r="6" spans="2:16" x14ac:dyDescent="0.2">
      <c r="B6" s="31" t="s">
        <v>169</v>
      </c>
      <c r="C6" s="50"/>
      <c r="D6" s="50"/>
      <c r="E6" s="50"/>
      <c r="F6" s="50"/>
      <c r="G6" s="7"/>
    </row>
    <row r="8" spans="2:16" x14ac:dyDescent="0.2">
      <c r="B8" s="23" t="s">
        <v>165</v>
      </c>
      <c r="C8" s="23"/>
      <c r="D8" s="23"/>
      <c r="E8" s="23"/>
      <c r="F8" s="23"/>
      <c r="G8" s="23"/>
      <c r="H8" s="284">
        <f>H9/20%</f>
        <v>880000</v>
      </c>
      <c r="I8" s="284"/>
      <c r="J8" s="41"/>
      <c r="K8" s="58"/>
      <c r="M8" s="53" t="s">
        <v>127</v>
      </c>
      <c r="N8" s="53"/>
      <c r="O8" s="54"/>
      <c r="P8" s="54"/>
    </row>
    <row r="9" spans="2:16" ht="17" thickBot="1" x14ac:dyDescent="0.25">
      <c r="B9" s="23" t="s">
        <v>230</v>
      </c>
      <c r="C9" s="23"/>
      <c r="D9" s="23"/>
      <c r="E9" s="269">
        <f>'Branch example'!N17</f>
        <v>0.19999999999999996</v>
      </c>
      <c r="F9" s="23"/>
      <c r="G9" s="23"/>
      <c r="H9" s="284">
        <f>'Branch example'!$R$4</f>
        <v>176000</v>
      </c>
      <c r="I9" s="284"/>
      <c r="J9" s="41"/>
      <c r="K9" s="58"/>
      <c r="M9" s="53"/>
      <c r="N9" s="53"/>
      <c r="O9" s="54"/>
      <c r="P9" s="54"/>
    </row>
    <row r="10" spans="2:16" ht="17" x14ac:dyDescent="0.2">
      <c r="B10" s="89" t="s">
        <v>129</v>
      </c>
      <c r="C10" s="285" t="s">
        <v>130</v>
      </c>
      <c r="D10" s="285"/>
      <c r="E10" s="86" t="s">
        <v>131</v>
      </c>
      <c r="F10" s="285" t="s">
        <v>132</v>
      </c>
      <c r="G10" s="285"/>
      <c r="H10" s="286" t="s">
        <v>133</v>
      </c>
      <c r="I10" s="287"/>
      <c r="J10" s="10" t="s">
        <v>134</v>
      </c>
      <c r="K10" s="114" t="s">
        <v>135</v>
      </c>
      <c r="M10" s="99" t="s">
        <v>128</v>
      </c>
      <c r="N10" s="100"/>
      <c r="O10" s="101"/>
      <c r="P10" s="102"/>
    </row>
    <row r="11" spans="2:16" x14ac:dyDescent="0.2">
      <c r="B11" s="87">
        <v>1</v>
      </c>
      <c r="E11" s="87" t="s">
        <v>139</v>
      </c>
      <c r="F11" s="39"/>
      <c r="G11" s="39"/>
      <c r="H11" s="82">
        <v>3.5000000000000003E-2</v>
      </c>
      <c r="I11" s="83">
        <f t="shared" ref="I11:I17" si="0">$H$8*H11</f>
        <v>30800.000000000004</v>
      </c>
      <c r="J11" s="7">
        <f t="shared" ref="J11:K17" si="1">$I11/2</f>
        <v>15400.000000000002</v>
      </c>
      <c r="K11" s="115">
        <f t="shared" si="1"/>
        <v>15400.000000000002</v>
      </c>
      <c r="M11" s="66" t="s">
        <v>129</v>
      </c>
      <c r="N11" s="6" t="s">
        <v>136</v>
      </c>
      <c r="O11" s="6" t="s">
        <v>137</v>
      </c>
      <c r="P11" s="103" t="s">
        <v>138</v>
      </c>
    </row>
    <row r="12" spans="2:16" x14ac:dyDescent="0.2">
      <c r="B12" s="87">
        <v>2</v>
      </c>
      <c r="C12" s="40">
        <v>2E-3</v>
      </c>
      <c r="D12" s="35">
        <f t="shared" ref="D12:D17" si="2">$H$8*C12</f>
        <v>1760</v>
      </c>
      <c r="E12" s="87" t="s">
        <v>140</v>
      </c>
      <c r="F12" s="39">
        <f t="shared" ref="F12:F17" si="3">H12-C12</f>
        <v>3.7999999999999999E-2</v>
      </c>
      <c r="G12" s="35">
        <f t="shared" ref="G12:G17" si="4">$H$8*F12</f>
        <v>33440</v>
      </c>
      <c r="H12" s="82">
        <v>0.04</v>
      </c>
      <c r="I12" s="83">
        <f t="shared" si="0"/>
        <v>35200</v>
      </c>
      <c r="J12" s="7">
        <f t="shared" si="1"/>
        <v>17600</v>
      </c>
      <c r="K12" s="115">
        <f t="shared" si="1"/>
        <v>17600</v>
      </c>
      <c r="M12" s="104">
        <v>1</v>
      </c>
      <c r="N12" s="5">
        <v>5</v>
      </c>
      <c r="O12" s="35">
        <f>K11*N12</f>
        <v>77000.000000000015</v>
      </c>
      <c r="P12" s="105">
        <f>O12/2</f>
        <v>38500.000000000007</v>
      </c>
    </row>
    <row r="13" spans="2:16" x14ac:dyDescent="0.2">
      <c r="B13" s="87">
        <v>3</v>
      </c>
      <c r="C13" s="40">
        <v>1E-3</v>
      </c>
      <c r="D13" s="35">
        <f t="shared" si="2"/>
        <v>880</v>
      </c>
      <c r="E13" s="87" t="s">
        <v>141</v>
      </c>
      <c r="F13" s="39">
        <f t="shared" si="3"/>
        <v>2.4E-2</v>
      </c>
      <c r="G13" s="35">
        <f t="shared" si="4"/>
        <v>21120</v>
      </c>
      <c r="H13" s="82">
        <v>2.5000000000000001E-2</v>
      </c>
      <c r="I13" s="83">
        <f t="shared" si="0"/>
        <v>22000</v>
      </c>
      <c r="J13" s="7">
        <f t="shared" si="1"/>
        <v>11000</v>
      </c>
      <c r="K13" s="115">
        <f t="shared" si="1"/>
        <v>11000</v>
      </c>
      <c r="M13" s="104">
        <v>2</v>
      </c>
      <c r="N13" s="5">
        <v>25</v>
      </c>
      <c r="O13" s="35">
        <f>K12*N13</f>
        <v>440000</v>
      </c>
      <c r="P13" s="105">
        <f>O13/2</f>
        <v>220000</v>
      </c>
    </row>
    <row r="14" spans="2:16" x14ac:dyDescent="0.2">
      <c r="B14" s="87">
        <v>4</v>
      </c>
      <c r="C14" s="40">
        <v>1E-3</v>
      </c>
      <c r="D14" s="35">
        <f t="shared" si="2"/>
        <v>880</v>
      </c>
      <c r="E14" s="87" t="s">
        <v>142</v>
      </c>
      <c r="F14" s="39">
        <f t="shared" si="3"/>
        <v>1.3999999999999999E-2</v>
      </c>
      <c r="G14" s="35">
        <f t="shared" si="4"/>
        <v>12319.999999999998</v>
      </c>
      <c r="H14" s="82">
        <v>1.4999999999999999E-2</v>
      </c>
      <c r="I14" s="83">
        <f t="shared" si="0"/>
        <v>13200</v>
      </c>
      <c r="J14" s="7">
        <f t="shared" si="1"/>
        <v>6600</v>
      </c>
      <c r="K14" s="115">
        <f t="shared" si="1"/>
        <v>6600</v>
      </c>
      <c r="M14" s="106" t="s">
        <v>117</v>
      </c>
      <c r="N14" s="51">
        <f>SUM(N12:N13)</f>
        <v>30</v>
      </c>
      <c r="O14" s="52">
        <f>SUM(O12:O13)</f>
        <v>517000</v>
      </c>
      <c r="P14" s="107">
        <f>O14/2</f>
        <v>258500</v>
      </c>
    </row>
    <row r="15" spans="2:16" x14ac:dyDescent="0.2">
      <c r="B15" s="87">
        <v>5</v>
      </c>
      <c r="C15" s="40">
        <v>1E-3</v>
      </c>
      <c r="D15" s="35">
        <f t="shared" si="2"/>
        <v>880</v>
      </c>
      <c r="E15" s="87" t="s">
        <v>143</v>
      </c>
      <c r="F15" s="39">
        <f t="shared" si="3"/>
        <v>9.0000000000000011E-3</v>
      </c>
      <c r="G15" s="35">
        <f t="shared" si="4"/>
        <v>7920.0000000000009</v>
      </c>
      <c r="H15" s="82">
        <v>0.01</v>
      </c>
      <c r="I15" s="83">
        <f t="shared" si="0"/>
        <v>8800</v>
      </c>
      <c r="J15" s="7">
        <f t="shared" si="1"/>
        <v>4400</v>
      </c>
      <c r="K15" s="115">
        <f t="shared" si="1"/>
        <v>4400</v>
      </c>
      <c r="M15" s="104"/>
      <c r="P15" s="109"/>
    </row>
    <row r="16" spans="2:16" x14ac:dyDescent="0.2">
      <c r="B16" s="87">
        <v>6</v>
      </c>
      <c r="C16" s="40">
        <v>5.0000000000000001E-3</v>
      </c>
      <c r="D16" s="35">
        <f t="shared" si="2"/>
        <v>4400</v>
      </c>
      <c r="E16" s="87" t="s">
        <v>145</v>
      </c>
      <c r="F16" s="39">
        <f t="shared" si="3"/>
        <v>0.02</v>
      </c>
      <c r="G16" s="35">
        <f t="shared" si="4"/>
        <v>17600</v>
      </c>
      <c r="H16" s="82">
        <v>2.5000000000000001E-2</v>
      </c>
      <c r="I16" s="83">
        <f t="shared" si="0"/>
        <v>22000</v>
      </c>
      <c r="J16" s="7">
        <f t="shared" si="1"/>
        <v>11000</v>
      </c>
      <c r="K16" s="115">
        <f t="shared" si="1"/>
        <v>11000</v>
      </c>
      <c r="M16" s="110" t="s">
        <v>159</v>
      </c>
      <c r="O16" s="35">
        <f>N14*$H$9</f>
        <v>5280000</v>
      </c>
      <c r="P16" s="105">
        <f>O16/2</f>
        <v>2640000</v>
      </c>
    </row>
    <row r="17" spans="2:16" ht="17" thickBot="1" x14ac:dyDescent="0.25">
      <c r="B17" s="88">
        <v>7</v>
      </c>
      <c r="C17" s="40">
        <v>5.0000000000000001E-3</v>
      </c>
      <c r="D17" s="35">
        <f t="shared" si="2"/>
        <v>4400</v>
      </c>
      <c r="E17" s="88" t="s">
        <v>146</v>
      </c>
      <c r="F17" s="43">
        <f t="shared" si="3"/>
        <v>4.5000000000000005E-2</v>
      </c>
      <c r="G17" s="35">
        <f t="shared" si="4"/>
        <v>39600.000000000007</v>
      </c>
      <c r="H17" s="84">
        <v>0.05</v>
      </c>
      <c r="I17" s="85">
        <f t="shared" si="0"/>
        <v>44000</v>
      </c>
      <c r="J17" s="7">
        <f t="shared" si="1"/>
        <v>22000</v>
      </c>
      <c r="K17" s="116">
        <f t="shared" si="1"/>
        <v>22000</v>
      </c>
      <c r="M17" s="108" t="s">
        <v>160</v>
      </c>
      <c r="O17" s="35">
        <f>2*O14</f>
        <v>1034000</v>
      </c>
      <c r="P17" s="105">
        <f>2*P14</f>
        <v>517000</v>
      </c>
    </row>
    <row r="18" spans="2:16" x14ac:dyDescent="0.2">
      <c r="D18" s="7"/>
      <c r="G18" s="45"/>
      <c r="H18" s="167">
        <f>SUM(H11:H17)</f>
        <v>0.2</v>
      </c>
      <c r="I18" s="35">
        <f>SUM(I11:I17)</f>
        <v>176000</v>
      </c>
      <c r="J18" s="7"/>
      <c r="K18" s="55"/>
      <c r="M18" s="111" t="s">
        <v>161</v>
      </c>
      <c r="N18" s="98"/>
      <c r="O18" s="112">
        <f>O16-O17</f>
        <v>4246000</v>
      </c>
      <c r="P18" s="113">
        <f>P16-P17</f>
        <v>2123000</v>
      </c>
    </row>
    <row r="21" spans="2:16" ht="25" customHeight="1" x14ac:dyDescent="0.2">
      <c r="M21" s="99" t="s">
        <v>144</v>
      </c>
      <c r="N21" s="100"/>
      <c r="O21" s="101"/>
      <c r="P21" s="102"/>
    </row>
    <row r="22" spans="2:16" x14ac:dyDescent="0.2">
      <c r="M22" s="66" t="s">
        <v>129</v>
      </c>
      <c r="N22" s="6" t="s">
        <v>136</v>
      </c>
      <c r="O22" s="6" t="s">
        <v>137</v>
      </c>
      <c r="P22" s="103" t="s">
        <v>138</v>
      </c>
    </row>
    <row r="23" spans="2:16" x14ac:dyDescent="0.2">
      <c r="M23" s="104">
        <v>1</v>
      </c>
      <c r="N23" s="5">
        <v>20</v>
      </c>
      <c r="O23" s="35">
        <f>K11*N23</f>
        <v>308000.00000000006</v>
      </c>
      <c r="P23" s="105">
        <f>O23/2</f>
        <v>154000.00000000003</v>
      </c>
    </row>
    <row r="24" spans="2:16" x14ac:dyDescent="0.2">
      <c r="M24" s="104">
        <v>2</v>
      </c>
      <c r="N24" s="5">
        <v>100</v>
      </c>
      <c r="O24" s="35">
        <f>K12*N24</f>
        <v>1760000</v>
      </c>
      <c r="P24" s="105">
        <f>O24/2</f>
        <v>880000</v>
      </c>
    </row>
    <row r="25" spans="2:16" x14ac:dyDescent="0.2">
      <c r="M25" s="106" t="s">
        <v>117</v>
      </c>
      <c r="N25" s="51">
        <f>SUM(N23:N24)</f>
        <v>120</v>
      </c>
      <c r="O25" s="52">
        <f>SUM(O23:O24)</f>
        <v>2068000</v>
      </c>
      <c r="P25" s="107">
        <f>O25/2</f>
        <v>1034000</v>
      </c>
    </row>
    <row r="26" spans="2:16" x14ac:dyDescent="0.2">
      <c r="M26" s="108"/>
      <c r="P26" s="109"/>
    </row>
    <row r="27" spans="2:16" x14ac:dyDescent="0.2">
      <c r="M27" s="110" t="s">
        <v>159</v>
      </c>
      <c r="O27" s="35">
        <f>N25*$H$9</f>
        <v>21120000</v>
      </c>
      <c r="P27" s="105">
        <f>O27/2</f>
        <v>10560000</v>
      </c>
    </row>
    <row r="28" spans="2:16" x14ac:dyDescent="0.2">
      <c r="M28" s="108" t="s">
        <v>160</v>
      </c>
      <c r="O28" s="35">
        <f>2*O25</f>
        <v>4136000</v>
      </c>
      <c r="P28" s="105">
        <f>2*P25</f>
        <v>2068000</v>
      </c>
    </row>
    <row r="29" spans="2:16" x14ac:dyDescent="0.2">
      <c r="M29" s="111" t="s">
        <v>161</v>
      </c>
      <c r="N29" s="98"/>
      <c r="O29" s="112">
        <f>O27-O28</f>
        <v>16984000</v>
      </c>
      <c r="P29" s="113">
        <f>P27-P28</f>
        <v>8492000</v>
      </c>
    </row>
    <row r="30" spans="2:16" ht="117" customHeight="1" x14ac:dyDescent="0.2">
      <c r="M30" s="283" t="s">
        <v>147</v>
      </c>
      <c r="N30" s="283"/>
      <c r="O30" s="283"/>
    </row>
    <row r="32" spans="2:16" x14ac:dyDescent="0.2">
      <c r="B32" s="50"/>
      <c r="C32" s="50"/>
      <c r="D32" s="50"/>
      <c r="E32" s="50"/>
      <c r="F32" s="50"/>
    </row>
    <row r="33" spans="2:6" x14ac:dyDescent="0.2">
      <c r="B33" s="50"/>
      <c r="C33" s="50"/>
      <c r="D33" s="50"/>
      <c r="E33" s="50"/>
      <c r="F33" s="50"/>
    </row>
  </sheetData>
  <sheetProtection selectLockedCells="1"/>
  <mergeCells count="6">
    <mergeCell ref="M30:O30"/>
    <mergeCell ref="H8:I8"/>
    <mergeCell ref="H9:I9"/>
    <mergeCell ref="C10:D10"/>
    <mergeCell ref="F10:G10"/>
    <mergeCell ref="H10:I10"/>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6AC89-919D-A047-8A64-49AAF2186CF9}">
  <dimension ref="B2:P33"/>
  <sheetViews>
    <sheetView topLeftCell="A7" zoomScale="168" zoomScaleNormal="168" workbookViewId="0">
      <selection activeCell="D21" sqref="D21"/>
    </sheetView>
  </sheetViews>
  <sheetFormatPr baseColWidth="10" defaultColWidth="11" defaultRowHeight="16" x14ac:dyDescent="0.2"/>
  <cols>
    <col min="2" max="2" width="11" style="5"/>
    <col min="3" max="3" width="10" style="5" customWidth="1"/>
    <col min="4" max="4" width="8.6640625" style="5" customWidth="1"/>
    <col min="5" max="5" width="7" style="5" customWidth="1"/>
    <col min="6" max="6" width="8.83203125" style="5" customWidth="1"/>
    <col min="7" max="7" width="9.5" style="5" bestFit="1" customWidth="1"/>
    <col min="8" max="8" width="11" style="5"/>
    <col min="9" max="9" width="11.5" style="5" bestFit="1" customWidth="1"/>
    <col min="10" max="10" width="11" style="5"/>
    <col min="11" max="11" width="11" style="51"/>
    <col min="12" max="12" width="6.6640625" customWidth="1"/>
    <col min="13" max="13" width="13.1640625" customWidth="1"/>
    <col min="15" max="16" width="14.6640625" style="5" bestFit="1" customWidth="1"/>
  </cols>
  <sheetData>
    <row r="2" spans="2:16" x14ac:dyDescent="0.2">
      <c r="B2" s="50" t="s">
        <v>166</v>
      </c>
    </row>
    <row r="3" spans="2:16" x14ac:dyDescent="0.2">
      <c r="B3" s="50" t="s">
        <v>167</v>
      </c>
      <c r="C3" s="50"/>
      <c r="D3" s="50"/>
      <c r="E3" s="50"/>
      <c r="F3" s="50"/>
    </row>
    <row r="4" spans="2:16" x14ac:dyDescent="0.2">
      <c r="B4" s="31" t="s">
        <v>170</v>
      </c>
      <c r="C4" s="50"/>
      <c r="D4" s="50"/>
      <c r="E4" s="50"/>
      <c r="F4" s="50"/>
    </row>
    <row r="5" spans="2:16" x14ac:dyDescent="0.2">
      <c r="B5" s="31" t="s">
        <v>171</v>
      </c>
      <c r="C5" s="50"/>
      <c r="D5" s="50"/>
      <c r="E5" s="50"/>
      <c r="F5" s="50"/>
    </row>
    <row r="6" spans="2:16" x14ac:dyDescent="0.2">
      <c r="B6" s="31" t="s">
        <v>169</v>
      </c>
      <c r="C6" s="50"/>
      <c r="D6" s="50"/>
      <c r="E6" s="50"/>
      <c r="F6" s="50"/>
      <c r="G6" s="7"/>
    </row>
    <row r="8" spans="2:16" x14ac:dyDescent="0.2">
      <c r="B8" s="23" t="s">
        <v>165</v>
      </c>
      <c r="C8" s="23"/>
      <c r="D8" s="23"/>
      <c r="E8" s="23"/>
      <c r="F8" s="23"/>
      <c r="G8" s="23"/>
      <c r="H8" s="284">
        <f>H9/20%</f>
        <v>880000</v>
      </c>
      <c r="I8" s="284"/>
      <c r="J8" s="41"/>
      <c r="K8" s="58"/>
      <c r="M8" s="53" t="s">
        <v>127</v>
      </c>
      <c r="N8" s="53"/>
      <c r="O8" s="54"/>
      <c r="P8" s="54"/>
    </row>
    <row r="9" spans="2:16" ht="17" thickBot="1" x14ac:dyDescent="0.25">
      <c r="B9" s="23" t="s">
        <v>230</v>
      </c>
      <c r="C9" s="23"/>
      <c r="D9" s="23"/>
      <c r="E9" s="269">
        <f>'Branch example'!N17</f>
        <v>0.19999999999999996</v>
      </c>
      <c r="F9" s="23"/>
      <c r="G9" s="23"/>
      <c r="H9" s="284">
        <f>'Branch example'!R13</f>
        <v>176000</v>
      </c>
      <c r="I9" s="284"/>
      <c r="J9" s="41"/>
      <c r="K9" s="58"/>
      <c r="M9" s="53"/>
      <c r="N9" s="53"/>
      <c r="O9" s="54"/>
      <c r="P9" s="54"/>
    </row>
    <row r="10" spans="2:16" ht="17" x14ac:dyDescent="0.2">
      <c r="B10" s="89" t="s">
        <v>129</v>
      </c>
      <c r="C10" s="285" t="s">
        <v>130</v>
      </c>
      <c r="D10" s="285"/>
      <c r="E10" s="86" t="s">
        <v>131</v>
      </c>
      <c r="F10" s="285" t="s">
        <v>132</v>
      </c>
      <c r="G10" s="285"/>
      <c r="H10" s="286" t="s">
        <v>133</v>
      </c>
      <c r="I10" s="287"/>
      <c r="J10" s="10" t="s">
        <v>134</v>
      </c>
      <c r="K10" s="114" t="s">
        <v>135</v>
      </c>
      <c r="M10" s="99" t="s">
        <v>128</v>
      </c>
      <c r="N10" s="100"/>
      <c r="O10" s="101"/>
      <c r="P10" s="102"/>
    </row>
    <row r="11" spans="2:16" x14ac:dyDescent="0.2">
      <c r="B11" s="87">
        <v>1</v>
      </c>
      <c r="E11" s="87" t="s">
        <v>139</v>
      </c>
      <c r="F11" s="39"/>
      <c r="G11" s="39"/>
      <c r="H11" s="82">
        <v>3.5000000000000003E-2</v>
      </c>
      <c r="I11" s="83">
        <f t="shared" ref="I11:I17" si="0">$H$8*H11</f>
        <v>30800.000000000004</v>
      </c>
      <c r="J11" s="7">
        <f t="shared" ref="J11:K17" si="1">$I11/2</f>
        <v>15400.000000000002</v>
      </c>
      <c r="K11" s="115">
        <f t="shared" si="1"/>
        <v>15400.000000000002</v>
      </c>
      <c r="M11" s="66" t="s">
        <v>129</v>
      </c>
      <c r="N11" s="6" t="s">
        <v>136</v>
      </c>
      <c r="O11" s="6" t="s">
        <v>137</v>
      </c>
      <c r="P11" s="103" t="s">
        <v>138</v>
      </c>
    </row>
    <row r="12" spans="2:16" x14ac:dyDescent="0.2">
      <c r="B12" s="87">
        <v>2</v>
      </c>
      <c r="C12" s="40">
        <v>2E-3</v>
      </c>
      <c r="D12" s="35">
        <f t="shared" ref="D12:D17" si="2">$H$8*C12</f>
        <v>1760</v>
      </c>
      <c r="E12" s="87" t="s">
        <v>140</v>
      </c>
      <c r="F12" s="39">
        <f t="shared" ref="F12:F17" si="3">H12-C12</f>
        <v>3.7999999999999999E-2</v>
      </c>
      <c r="G12" s="35">
        <f t="shared" ref="G12:G17" si="4">$H$8*F12</f>
        <v>33440</v>
      </c>
      <c r="H12" s="82">
        <v>0.04</v>
      </c>
      <c r="I12" s="83">
        <f t="shared" si="0"/>
        <v>35200</v>
      </c>
      <c r="J12" s="7">
        <f t="shared" si="1"/>
        <v>17600</v>
      </c>
      <c r="K12" s="115">
        <f t="shared" si="1"/>
        <v>17600</v>
      </c>
      <c r="M12" s="104">
        <v>1</v>
      </c>
      <c r="N12" s="5">
        <v>5</v>
      </c>
      <c r="O12" s="35">
        <f>K11*N12</f>
        <v>77000.000000000015</v>
      </c>
      <c r="P12" s="105">
        <f>O12/2</f>
        <v>38500.000000000007</v>
      </c>
    </row>
    <row r="13" spans="2:16" x14ac:dyDescent="0.2">
      <c r="B13" s="87">
        <v>3</v>
      </c>
      <c r="C13" s="40">
        <v>1E-3</v>
      </c>
      <c r="D13" s="35">
        <f t="shared" si="2"/>
        <v>880</v>
      </c>
      <c r="E13" s="87" t="s">
        <v>141</v>
      </c>
      <c r="F13" s="39">
        <f t="shared" si="3"/>
        <v>2.4E-2</v>
      </c>
      <c r="G13" s="35">
        <f t="shared" si="4"/>
        <v>21120</v>
      </c>
      <c r="H13" s="82">
        <v>2.5000000000000001E-2</v>
      </c>
      <c r="I13" s="83">
        <f t="shared" si="0"/>
        <v>22000</v>
      </c>
      <c r="J13" s="7">
        <f t="shared" si="1"/>
        <v>11000</v>
      </c>
      <c r="K13" s="115">
        <f t="shared" si="1"/>
        <v>11000</v>
      </c>
      <c r="M13" s="104">
        <v>2</v>
      </c>
      <c r="N13" s="5">
        <v>25</v>
      </c>
      <c r="O13" s="35">
        <f>K12*N13</f>
        <v>440000</v>
      </c>
      <c r="P13" s="105">
        <f>O13/2</f>
        <v>220000</v>
      </c>
    </row>
    <row r="14" spans="2:16" x14ac:dyDescent="0.2">
      <c r="B14" s="87">
        <v>4</v>
      </c>
      <c r="C14" s="40">
        <v>1E-3</v>
      </c>
      <c r="D14" s="35">
        <f t="shared" si="2"/>
        <v>880</v>
      </c>
      <c r="E14" s="87" t="s">
        <v>142</v>
      </c>
      <c r="F14" s="39">
        <f t="shared" si="3"/>
        <v>1.3999999999999999E-2</v>
      </c>
      <c r="G14" s="35">
        <f t="shared" si="4"/>
        <v>12319.999999999998</v>
      </c>
      <c r="H14" s="82">
        <v>1.4999999999999999E-2</v>
      </c>
      <c r="I14" s="83">
        <f t="shared" si="0"/>
        <v>13200</v>
      </c>
      <c r="J14" s="7">
        <f t="shared" si="1"/>
        <v>6600</v>
      </c>
      <c r="K14" s="115">
        <f t="shared" si="1"/>
        <v>6600</v>
      </c>
      <c r="M14" s="106" t="s">
        <v>117</v>
      </c>
      <c r="N14" s="51">
        <f>SUM(N12:N13)</f>
        <v>30</v>
      </c>
      <c r="O14" s="52">
        <f>SUM(O12:O13)</f>
        <v>517000</v>
      </c>
      <c r="P14" s="107">
        <f>O14/2</f>
        <v>258500</v>
      </c>
    </row>
    <row r="15" spans="2:16" x14ac:dyDescent="0.2">
      <c r="B15" s="87">
        <v>5</v>
      </c>
      <c r="C15" s="40">
        <v>1E-3</v>
      </c>
      <c r="D15" s="35">
        <f t="shared" si="2"/>
        <v>880</v>
      </c>
      <c r="E15" s="87" t="s">
        <v>143</v>
      </c>
      <c r="F15" s="39">
        <f t="shared" si="3"/>
        <v>9.0000000000000011E-3</v>
      </c>
      <c r="G15" s="35">
        <f t="shared" si="4"/>
        <v>7920.0000000000009</v>
      </c>
      <c r="H15" s="82">
        <v>0.01</v>
      </c>
      <c r="I15" s="83">
        <f t="shared" si="0"/>
        <v>8800</v>
      </c>
      <c r="J15" s="7">
        <f t="shared" si="1"/>
        <v>4400</v>
      </c>
      <c r="K15" s="115">
        <f t="shared" si="1"/>
        <v>4400</v>
      </c>
      <c r="M15" s="104"/>
      <c r="P15" s="109"/>
    </row>
    <row r="16" spans="2:16" x14ac:dyDescent="0.2">
      <c r="B16" s="87">
        <v>6</v>
      </c>
      <c r="C16" s="40">
        <v>5.0000000000000001E-3</v>
      </c>
      <c r="D16" s="35">
        <f t="shared" si="2"/>
        <v>4400</v>
      </c>
      <c r="E16" s="87" t="s">
        <v>145</v>
      </c>
      <c r="F16" s="39">
        <f t="shared" si="3"/>
        <v>0.02</v>
      </c>
      <c r="G16" s="35">
        <f t="shared" si="4"/>
        <v>17600</v>
      </c>
      <c r="H16" s="82">
        <v>2.5000000000000001E-2</v>
      </c>
      <c r="I16" s="83">
        <f t="shared" si="0"/>
        <v>22000</v>
      </c>
      <c r="J16" s="7">
        <f t="shared" si="1"/>
        <v>11000</v>
      </c>
      <c r="K16" s="115">
        <f t="shared" si="1"/>
        <v>11000</v>
      </c>
      <c r="M16" s="110" t="s">
        <v>159</v>
      </c>
      <c r="O16" s="35">
        <f>N14*$H$9</f>
        <v>5280000</v>
      </c>
      <c r="P16" s="105">
        <f>O16/2</f>
        <v>2640000</v>
      </c>
    </row>
    <row r="17" spans="2:16" ht="17" thickBot="1" x14ac:dyDescent="0.25">
      <c r="B17" s="88">
        <v>7</v>
      </c>
      <c r="C17" s="40">
        <v>5.0000000000000001E-3</v>
      </c>
      <c r="D17" s="35">
        <f t="shared" si="2"/>
        <v>4400</v>
      </c>
      <c r="E17" s="88" t="s">
        <v>146</v>
      </c>
      <c r="F17" s="43">
        <f t="shared" si="3"/>
        <v>4.5000000000000005E-2</v>
      </c>
      <c r="G17" s="35">
        <f t="shared" si="4"/>
        <v>39600.000000000007</v>
      </c>
      <c r="H17" s="84">
        <v>0.05</v>
      </c>
      <c r="I17" s="85">
        <f t="shared" si="0"/>
        <v>44000</v>
      </c>
      <c r="J17" s="7">
        <f t="shared" si="1"/>
        <v>22000</v>
      </c>
      <c r="K17" s="116">
        <f t="shared" si="1"/>
        <v>22000</v>
      </c>
      <c r="M17" s="108" t="s">
        <v>160</v>
      </c>
      <c r="O17" s="35">
        <f>2*O14</f>
        <v>1034000</v>
      </c>
      <c r="P17" s="105">
        <f>2*P14</f>
        <v>517000</v>
      </c>
    </row>
    <row r="18" spans="2:16" x14ac:dyDescent="0.2">
      <c r="D18" s="7"/>
      <c r="G18" s="45"/>
      <c r="H18" s="167">
        <f>SUM(H11:H17)</f>
        <v>0.2</v>
      </c>
      <c r="I18" s="35">
        <f>SUM(I11:I17)</f>
        <v>176000</v>
      </c>
      <c r="J18" s="7"/>
      <c r="K18" s="55"/>
      <c r="M18" s="111" t="s">
        <v>161</v>
      </c>
      <c r="N18" s="98"/>
      <c r="O18" s="112">
        <f>O16-O17</f>
        <v>4246000</v>
      </c>
      <c r="P18" s="113">
        <f>P16-P17</f>
        <v>2123000</v>
      </c>
    </row>
    <row r="21" spans="2:16" ht="25" customHeight="1" x14ac:dyDescent="0.2">
      <c r="M21" s="99" t="s">
        <v>144</v>
      </c>
      <c r="N21" s="100"/>
      <c r="O21" s="101"/>
      <c r="P21" s="102"/>
    </row>
    <row r="22" spans="2:16" x14ac:dyDescent="0.2">
      <c r="M22" s="66" t="s">
        <v>129</v>
      </c>
      <c r="N22" s="6" t="s">
        <v>136</v>
      </c>
      <c r="O22" s="6" t="s">
        <v>137</v>
      </c>
      <c r="P22" s="103" t="s">
        <v>138</v>
      </c>
    </row>
    <row r="23" spans="2:16" x14ac:dyDescent="0.2">
      <c r="M23" s="104">
        <v>1</v>
      </c>
      <c r="N23" s="5">
        <v>20</v>
      </c>
      <c r="O23" s="35">
        <f>K11*N23</f>
        <v>308000.00000000006</v>
      </c>
      <c r="P23" s="105">
        <f>O23/2</f>
        <v>154000.00000000003</v>
      </c>
    </row>
    <row r="24" spans="2:16" x14ac:dyDescent="0.2">
      <c r="M24" s="104">
        <v>2</v>
      </c>
      <c r="N24" s="5">
        <v>100</v>
      </c>
      <c r="O24" s="35">
        <f>K12*N24</f>
        <v>1760000</v>
      </c>
      <c r="P24" s="105">
        <f>O24/2</f>
        <v>880000</v>
      </c>
    </row>
    <row r="25" spans="2:16" x14ac:dyDescent="0.2">
      <c r="M25" s="106" t="s">
        <v>117</v>
      </c>
      <c r="N25" s="51">
        <f>SUM(N23:N24)</f>
        <v>120</v>
      </c>
      <c r="O25" s="52">
        <f>SUM(O23:O24)</f>
        <v>2068000</v>
      </c>
      <c r="P25" s="107">
        <f>O25/2</f>
        <v>1034000</v>
      </c>
    </row>
    <row r="26" spans="2:16" x14ac:dyDescent="0.2">
      <c r="M26" s="108"/>
      <c r="P26" s="109"/>
    </row>
    <row r="27" spans="2:16" x14ac:dyDescent="0.2">
      <c r="M27" s="110" t="s">
        <v>159</v>
      </c>
      <c r="O27" s="35">
        <f>N25*$H$9</f>
        <v>21120000</v>
      </c>
      <c r="P27" s="105">
        <f>O27/2</f>
        <v>10560000</v>
      </c>
    </row>
    <row r="28" spans="2:16" x14ac:dyDescent="0.2">
      <c r="M28" s="108" t="s">
        <v>160</v>
      </c>
      <c r="O28" s="35">
        <f>2*O25</f>
        <v>4136000</v>
      </c>
      <c r="P28" s="105">
        <f>2*P25</f>
        <v>2068000</v>
      </c>
    </row>
    <row r="29" spans="2:16" x14ac:dyDescent="0.2">
      <c r="M29" s="111" t="s">
        <v>161</v>
      </c>
      <c r="N29" s="98"/>
      <c r="O29" s="112">
        <f>O27-O28</f>
        <v>16984000</v>
      </c>
      <c r="P29" s="113">
        <f>P27-P28</f>
        <v>8492000</v>
      </c>
    </row>
    <row r="30" spans="2:16" ht="117" customHeight="1" x14ac:dyDescent="0.2">
      <c r="M30" s="283" t="s">
        <v>147</v>
      </c>
      <c r="N30" s="283"/>
      <c r="O30" s="283"/>
    </row>
    <row r="32" spans="2:16" x14ac:dyDescent="0.2">
      <c r="B32" s="50"/>
      <c r="C32" s="50"/>
      <c r="D32" s="50"/>
      <c r="E32" s="50"/>
      <c r="F32" s="50"/>
    </row>
    <row r="33" spans="2:6" x14ac:dyDescent="0.2">
      <c r="B33" s="50"/>
      <c r="C33" s="50"/>
      <c r="D33" s="50"/>
      <c r="E33" s="50"/>
      <c r="F33" s="50"/>
    </row>
  </sheetData>
  <sheetProtection selectLockedCells="1"/>
  <mergeCells count="6">
    <mergeCell ref="M30:O30"/>
    <mergeCell ref="H8:I8"/>
    <mergeCell ref="H9:I9"/>
    <mergeCell ref="C10:D10"/>
    <mergeCell ref="F10:G10"/>
    <mergeCell ref="H10:I1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D2DD0-9FCB-4548-981E-8C450FCB1097}">
  <sheetPr codeName="Sheet18"/>
  <dimension ref="A1:G15"/>
  <sheetViews>
    <sheetView tabSelected="1" zoomScale="234" zoomScaleNormal="234" workbookViewId="0">
      <selection activeCell="B10" sqref="B10"/>
    </sheetView>
  </sheetViews>
  <sheetFormatPr baseColWidth="10" defaultRowHeight="16" x14ac:dyDescent="0.2"/>
  <cols>
    <col min="1" max="1" width="20.5" bestFit="1" customWidth="1"/>
    <col min="2" max="2" width="17" bestFit="1" customWidth="1"/>
    <col min="3" max="3" width="17" customWidth="1"/>
    <col min="4" max="4" width="17.33203125" bestFit="1" customWidth="1"/>
    <col min="5" max="5" width="20.5" bestFit="1" customWidth="1"/>
    <col min="6" max="6" width="16" bestFit="1" customWidth="1"/>
    <col min="7" max="7" width="19.33203125" bestFit="1" customWidth="1"/>
  </cols>
  <sheetData>
    <row r="1" spans="1:7" x14ac:dyDescent="0.2">
      <c r="A1" t="s">
        <v>213</v>
      </c>
      <c r="B1">
        <v>9877543</v>
      </c>
    </row>
    <row r="2" spans="1:7" x14ac:dyDescent="0.2">
      <c r="A2" t="s">
        <v>214</v>
      </c>
      <c r="B2">
        <v>1754199</v>
      </c>
    </row>
    <row r="3" spans="1:7" x14ac:dyDescent="0.2">
      <c r="A3" t="s">
        <v>215</v>
      </c>
    </row>
    <row r="4" spans="1:7" x14ac:dyDescent="0.2">
      <c r="A4" t="s">
        <v>218</v>
      </c>
    </row>
    <row r="5" spans="1:7" x14ac:dyDescent="0.2">
      <c r="A5" t="s">
        <v>217</v>
      </c>
    </row>
    <row r="6" spans="1:7" x14ac:dyDescent="0.2">
      <c r="A6" t="s">
        <v>216</v>
      </c>
    </row>
    <row r="8" spans="1:7" s="5" customFormat="1" x14ac:dyDescent="0.2">
      <c r="A8" s="5" t="s">
        <v>213</v>
      </c>
      <c r="B8" s="5" t="s">
        <v>214</v>
      </c>
      <c r="C8" s="5" t="s">
        <v>160</v>
      </c>
      <c r="D8" s="5" t="s">
        <v>215</v>
      </c>
      <c r="E8" s="5" t="s">
        <v>218</v>
      </c>
      <c r="F8" s="5" t="s">
        <v>217</v>
      </c>
      <c r="G8" s="5" t="s">
        <v>216</v>
      </c>
    </row>
    <row r="10" spans="1:7" x14ac:dyDescent="0.2">
      <c r="A10" t="s">
        <v>213</v>
      </c>
      <c r="B10">
        <v>6654878</v>
      </c>
    </row>
    <row r="11" spans="1:7" x14ac:dyDescent="0.2">
      <c r="A11" t="s">
        <v>214</v>
      </c>
      <c r="B11">
        <v>9877543</v>
      </c>
    </row>
    <row r="12" spans="1:7" x14ac:dyDescent="0.2">
      <c r="A12" t="s">
        <v>215</v>
      </c>
    </row>
    <row r="13" spans="1:7" x14ac:dyDescent="0.2">
      <c r="A13" t="s">
        <v>218</v>
      </c>
    </row>
    <row r="14" spans="1:7" x14ac:dyDescent="0.2">
      <c r="A14" t="s">
        <v>217</v>
      </c>
    </row>
    <row r="15" spans="1:7" x14ac:dyDescent="0.2">
      <c r="A15" t="s">
        <v>216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E7616-9ACA-324C-8EB8-10403C8D1572}">
  <sheetPr codeName="Sheet16"/>
  <dimension ref="A1:Q650"/>
  <sheetViews>
    <sheetView zoomScale="271" zoomScaleNormal="271" workbookViewId="0">
      <pane ySplit="3" topLeftCell="A4" activePane="bottomLeft" state="frozen"/>
      <selection pane="bottomLeft" activeCell="E12" sqref="E12"/>
    </sheetView>
  </sheetViews>
  <sheetFormatPr baseColWidth="10" defaultRowHeight="16" x14ac:dyDescent="0.2"/>
  <cols>
    <col min="1" max="1" width="10.83203125" style="5"/>
    <col min="2" max="2" width="16" style="196" bestFit="1" customWidth="1"/>
    <col min="3" max="3" width="11" style="173" bestFit="1" customWidth="1"/>
    <col min="4" max="4" width="11" style="176" bestFit="1" customWidth="1"/>
    <col min="5" max="5" width="11" style="179" bestFit="1" customWidth="1"/>
    <col min="6" max="6" width="11.5" style="185" bestFit="1" customWidth="1"/>
    <col min="7" max="7" width="13" style="189" bestFit="1" customWidth="1"/>
    <col min="8" max="8" width="14" style="170" bestFit="1" customWidth="1"/>
  </cols>
  <sheetData>
    <row r="1" spans="1:17" ht="22" customHeight="1" x14ac:dyDescent="0.2">
      <c r="A1" s="195">
        <f t="shared" ref="A1" ca="1" si="0">RAND()*2000000</f>
        <v>375900.51883327955</v>
      </c>
      <c r="B1" s="200">
        <v>5</v>
      </c>
      <c r="C1" s="201">
        <f>$B$1*B1</f>
        <v>25</v>
      </c>
      <c r="D1" s="201">
        <f t="shared" ref="D1:H1" si="1">$B$1*C1</f>
        <v>125</v>
      </c>
      <c r="E1" s="201">
        <f t="shared" si="1"/>
        <v>625</v>
      </c>
      <c r="F1" s="201">
        <f t="shared" si="1"/>
        <v>3125</v>
      </c>
      <c r="G1" s="201">
        <f t="shared" si="1"/>
        <v>15625</v>
      </c>
      <c r="H1" s="201">
        <f t="shared" si="1"/>
        <v>78125</v>
      </c>
    </row>
    <row r="2" spans="1:17" ht="20" customHeight="1" x14ac:dyDescent="0.2">
      <c r="A2" s="171"/>
      <c r="B2" s="193">
        <f>'Revenue Share Capped'!J11</f>
        <v>15400.000000000002</v>
      </c>
      <c r="C2" s="174">
        <f>'Revenue Share Capped'!J12</f>
        <v>17600</v>
      </c>
      <c r="D2" s="177">
        <f>'Revenue Share Capped'!J13</f>
        <v>11000</v>
      </c>
      <c r="E2" s="180">
        <f>'Revenue Share Capped'!J14</f>
        <v>6600</v>
      </c>
      <c r="F2" s="186">
        <f>'Revenue Share Capped'!J15</f>
        <v>4400</v>
      </c>
      <c r="G2" s="190">
        <f>'Revenue Share Capped'!J16</f>
        <v>11000</v>
      </c>
      <c r="H2" s="197">
        <f>'Revenue Share Capped'!J17</f>
        <v>22000</v>
      </c>
    </row>
    <row r="3" spans="1:17" ht="20" customHeight="1" x14ac:dyDescent="0.2">
      <c r="A3" s="172" t="s">
        <v>211</v>
      </c>
      <c r="B3" s="194">
        <v>1</v>
      </c>
      <c r="C3" s="182">
        <v>2</v>
      </c>
      <c r="D3" s="183">
        <v>3</v>
      </c>
      <c r="E3" s="184">
        <v>4</v>
      </c>
      <c r="F3" s="187">
        <v>5</v>
      </c>
      <c r="G3" s="191">
        <v>6</v>
      </c>
      <c r="H3" s="198">
        <v>7</v>
      </c>
    </row>
    <row r="4" spans="1:17" x14ac:dyDescent="0.2">
      <c r="A4" s="173">
        <v>1</v>
      </c>
      <c r="B4" s="195">
        <f t="shared" ref="B4:B8" ca="1" si="2">TRUNC(RAND()*2000000,0)</f>
        <v>244157</v>
      </c>
      <c r="C4" s="175">
        <f t="shared" ref="C4:H28" ca="1" si="3">TRUNC(RAND()*2000000,0)</f>
        <v>819328</v>
      </c>
      <c r="D4" s="178">
        <f t="shared" ca="1" si="3"/>
        <v>694081</v>
      </c>
      <c r="E4" s="181">
        <f t="shared" ca="1" si="3"/>
        <v>1831210</v>
      </c>
      <c r="F4" s="188">
        <f t="shared" ca="1" si="3"/>
        <v>838187</v>
      </c>
      <c r="G4" s="192">
        <f t="shared" ca="1" si="3"/>
        <v>1279027</v>
      </c>
      <c r="H4" s="199">
        <f t="shared" ca="1" si="3"/>
        <v>281987</v>
      </c>
      <c r="J4" s="5" t="s">
        <v>172</v>
      </c>
    </row>
    <row r="5" spans="1:17" x14ac:dyDescent="0.2">
      <c r="A5" s="173">
        <v>2</v>
      </c>
      <c r="B5" s="195">
        <f t="shared" ca="1" si="2"/>
        <v>1344379</v>
      </c>
      <c r="C5" s="175">
        <f t="shared" ca="1" si="3"/>
        <v>1597108</v>
      </c>
      <c r="D5" s="178">
        <f t="shared" ca="1" si="3"/>
        <v>1609528</v>
      </c>
      <c r="E5" s="181">
        <f t="shared" ca="1" si="3"/>
        <v>131128</v>
      </c>
      <c r="F5" s="188">
        <f t="shared" ca="1" si="3"/>
        <v>1731578</v>
      </c>
      <c r="G5" s="192">
        <f t="shared" ca="1" si="3"/>
        <v>1007496</v>
      </c>
      <c r="H5" s="199">
        <f t="shared" ca="1" si="3"/>
        <v>1813658</v>
      </c>
      <c r="J5" s="5" t="s">
        <v>173</v>
      </c>
    </row>
    <row r="6" spans="1:17" x14ac:dyDescent="0.2">
      <c r="A6" s="173">
        <v>3</v>
      </c>
      <c r="B6" s="195">
        <f t="shared" ca="1" si="2"/>
        <v>188407</v>
      </c>
      <c r="C6" s="175">
        <f t="shared" ca="1" si="3"/>
        <v>1790056</v>
      </c>
      <c r="D6" s="178">
        <f t="shared" ca="1" si="3"/>
        <v>1203744</v>
      </c>
      <c r="E6" s="181">
        <f t="shared" ca="1" si="3"/>
        <v>1159252</v>
      </c>
      <c r="F6" s="188">
        <f t="shared" ca="1" si="3"/>
        <v>875456</v>
      </c>
      <c r="G6" s="192">
        <f t="shared" ca="1" si="3"/>
        <v>115459</v>
      </c>
      <c r="H6" s="199">
        <f t="shared" ca="1" si="3"/>
        <v>510427</v>
      </c>
      <c r="J6" s="5" t="s">
        <v>174</v>
      </c>
    </row>
    <row r="7" spans="1:17" x14ac:dyDescent="0.2">
      <c r="A7" s="173">
        <v>4</v>
      </c>
      <c r="B7" s="195">
        <f t="shared" ca="1" si="2"/>
        <v>1136168</v>
      </c>
      <c r="C7" s="175">
        <f t="shared" ca="1" si="3"/>
        <v>944365</v>
      </c>
      <c r="D7" s="178">
        <f ca="1">TRUNC(RAND()*2000000,0)</f>
        <v>1534637</v>
      </c>
      <c r="E7" s="181">
        <f t="shared" ca="1" si="3"/>
        <v>140027</v>
      </c>
      <c r="F7" s="188">
        <f t="shared" ca="1" si="3"/>
        <v>500212</v>
      </c>
      <c r="G7" s="192">
        <f t="shared" ca="1" si="3"/>
        <v>1217797</v>
      </c>
      <c r="H7" s="199">
        <f t="shared" ca="1" si="3"/>
        <v>372352</v>
      </c>
      <c r="J7" s="5" t="s">
        <v>175</v>
      </c>
    </row>
    <row r="8" spans="1:17" x14ac:dyDescent="0.2">
      <c r="A8" s="173">
        <v>5</v>
      </c>
      <c r="B8" s="195">
        <f t="shared" ca="1" si="2"/>
        <v>537667</v>
      </c>
      <c r="C8" s="175">
        <f t="shared" ca="1" si="3"/>
        <v>1694150</v>
      </c>
      <c r="D8" s="178">
        <f t="shared" ca="1" si="3"/>
        <v>598234</v>
      </c>
      <c r="E8" s="181">
        <f t="shared" ca="1" si="3"/>
        <v>268929</v>
      </c>
      <c r="F8" s="188">
        <f t="shared" ca="1" si="3"/>
        <v>1731835</v>
      </c>
      <c r="G8" s="192">
        <f t="shared" ca="1" si="3"/>
        <v>476850</v>
      </c>
      <c r="H8" s="199">
        <f t="shared" ca="1" si="3"/>
        <v>1735151</v>
      </c>
      <c r="J8" s="5" t="s">
        <v>176</v>
      </c>
    </row>
    <row r="9" spans="1:17" x14ac:dyDescent="0.2">
      <c r="A9" s="176">
        <v>6</v>
      </c>
      <c r="B9" s="195"/>
      <c r="C9" s="175">
        <f t="shared" ca="1" si="3"/>
        <v>1128825</v>
      </c>
      <c r="D9" s="178">
        <f t="shared" ca="1" si="3"/>
        <v>285453</v>
      </c>
      <c r="E9" s="181">
        <f t="shared" ca="1" si="3"/>
        <v>181421</v>
      </c>
      <c r="F9" s="188">
        <f t="shared" ca="1" si="3"/>
        <v>435129</v>
      </c>
      <c r="G9" s="192">
        <f t="shared" ca="1" si="3"/>
        <v>995158</v>
      </c>
      <c r="H9" s="199">
        <f t="shared" ca="1" si="3"/>
        <v>309383</v>
      </c>
      <c r="J9" s="5" t="s">
        <v>177</v>
      </c>
    </row>
    <row r="10" spans="1:17" x14ac:dyDescent="0.2">
      <c r="A10" s="176">
        <v>7</v>
      </c>
      <c r="B10" s="195"/>
      <c r="C10" s="175">
        <f t="shared" ca="1" si="3"/>
        <v>276529</v>
      </c>
      <c r="D10" s="178">
        <f t="shared" ca="1" si="3"/>
        <v>723784</v>
      </c>
      <c r="E10" s="181">
        <f t="shared" ca="1" si="3"/>
        <v>1120913</v>
      </c>
      <c r="F10" s="188">
        <f t="shared" ca="1" si="3"/>
        <v>1444701</v>
      </c>
      <c r="G10" s="192">
        <f t="shared" ca="1" si="3"/>
        <v>624658</v>
      </c>
      <c r="H10" s="199">
        <f t="shared" ca="1" si="3"/>
        <v>161359</v>
      </c>
      <c r="J10" s="5" t="s">
        <v>178</v>
      </c>
    </row>
    <row r="11" spans="1:17" x14ac:dyDescent="0.2">
      <c r="A11" s="176">
        <v>8</v>
      </c>
      <c r="B11" s="195"/>
      <c r="C11" s="175">
        <f t="shared" ca="1" si="3"/>
        <v>916203</v>
      </c>
      <c r="D11" s="178">
        <f t="shared" ca="1" si="3"/>
        <v>789631</v>
      </c>
      <c r="E11" s="181">
        <f t="shared" ca="1" si="3"/>
        <v>1639877</v>
      </c>
      <c r="F11" s="188">
        <f t="shared" ca="1" si="3"/>
        <v>1399939</v>
      </c>
      <c r="G11" s="192">
        <f t="shared" ca="1" si="3"/>
        <v>911628</v>
      </c>
      <c r="H11" s="199">
        <f t="shared" ca="1" si="3"/>
        <v>444638</v>
      </c>
      <c r="J11" s="5" t="s">
        <v>179</v>
      </c>
    </row>
    <row r="12" spans="1:17" x14ac:dyDescent="0.2">
      <c r="A12" s="176">
        <v>9</v>
      </c>
      <c r="B12" s="195"/>
      <c r="C12" s="175">
        <f t="shared" ca="1" si="3"/>
        <v>1416138</v>
      </c>
      <c r="D12" s="178">
        <f t="shared" ca="1" si="3"/>
        <v>1614771</v>
      </c>
      <c r="E12" s="181">
        <f t="shared" ca="1" si="3"/>
        <v>455393</v>
      </c>
      <c r="F12" s="188">
        <f t="shared" ca="1" si="3"/>
        <v>941529</v>
      </c>
      <c r="G12" s="192">
        <f t="shared" ca="1" si="3"/>
        <v>1619946</v>
      </c>
      <c r="H12" s="199">
        <f t="shared" ca="1" si="3"/>
        <v>559801</v>
      </c>
      <c r="J12" s="5" t="s">
        <v>180</v>
      </c>
    </row>
    <row r="13" spans="1:17" x14ac:dyDescent="0.2">
      <c r="A13" s="176">
        <v>10</v>
      </c>
      <c r="B13" s="195"/>
      <c r="C13" s="175">
        <f t="shared" ca="1" si="3"/>
        <v>1882920</v>
      </c>
      <c r="D13" s="178">
        <f t="shared" ca="1" si="3"/>
        <v>508463</v>
      </c>
      <c r="E13" s="181">
        <f t="shared" ca="1" si="3"/>
        <v>16180</v>
      </c>
      <c r="F13" s="188">
        <f t="shared" ca="1" si="3"/>
        <v>956083</v>
      </c>
      <c r="G13" s="192">
        <f t="shared" ca="1" si="3"/>
        <v>704746</v>
      </c>
      <c r="H13" s="199">
        <f t="shared" ca="1" si="3"/>
        <v>463860</v>
      </c>
      <c r="J13" s="5" t="s">
        <v>181</v>
      </c>
    </row>
    <row r="14" spans="1:17" x14ac:dyDescent="0.2">
      <c r="A14" s="179">
        <v>11</v>
      </c>
      <c r="B14" s="195"/>
      <c r="C14" s="175">
        <f t="shared" ca="1" si="3"/>
        <v>872618</v>
      </c>
      <c r="D14" s="178">
        <f t="shared" ca="1" si="3"/>
        <v>852393</v>
      </c>
      <c r="E14" s="181">
        <f t="shared" ca="1" si="3"/>
        <v>367617</v>
      </c>
      <c r="F14" s="188">
        <f t="shared" ca="1" si="3"/>
        <v>1297063</v>
      </c>
      <c r="G14" s="192">
        <f t="shared" ca="1" si="3"/>
        <v>1637591</v>
      </c>
      <c r="H14" s="199">
        <f t="shared" ca="1" si="3"/>
        <v>167980</v>
      </c>
      <c r="J14" s="5" t="s">
        <v>182</v>
      </c>
      <c r="K14" s="169"/>
      <c r="L14" s="169"/>
      <c r="M14" s="168">
        <f>'Revenue Share Capped'!T15</f>
        <v>0</v>
      </c>
      <c r="N14" s="168">
        <f>'Revenue Share Capped'!U15</f>
        <v>0</v>
      </c>
      <c r="O14" s="168">
        <f>'Revenue Share Capped'!V15</f>
        <v>0</v>
      </c>
      <c r="P14" s="168">
        <f>'Revenue Share Capped'!W15</f>
        <v>0</v>
      </c>
      <c r="Q14" s="168">
        <f>'Revenue Share Capped'!X15</f>
        <v>0</v>
      </c>
    </row>
    <row r="15" spans="1:17" x14ac:dyDescent="0.2">
      <c r="A15" s="179">
        <v>12</v>
      </c>
      <c r="B15" s="195"/>
      <c r="C15" s="175">
        <f t="shared" ca="1" si="3"/>
        <v>546821</v>
      </c>
      <c r="D15" s="178">
        <f t="shared" ca="1" si="3"/>
        <v>1492419</v>
      </c>
      <c r="E15" s="181">
        <f t="shared" ca="1" si="3"/>
        <v>1497798</v>
      </c>
      <c r="F15" s="188">
        <f t="shared" ca="1" si="3"/>
        <v>895585</v>
      </c>
      <c r="G15" s="192">
        <f t="shared" ca="1" si="3"/>
        <v>1484266</v>
      </c>
      <c r="H15" s="199">
        <f t="shared" ca="1" si="3"/>
        <v>1886962</v>
      </c>
      <c r="J15" s="5" t="s">
        <v>183</v>
      </c>
    </row>
    <row r="16" spans="1:17" x14ac:dyDescent="0.2">
      <c r="A16" s="179">
        <v>13</v>
      </c>
      <c r="B16" s="195"/>
      <c r="C16" s="175">
        <f t="shared" ca="1" si="3"/>
        <v>1374195</v>
      </c>
      <c r="D16" s="178">
        <f t="shared" ca="1" si="3"/>
        <v>1371158</v>
      </c>
      <c r="E16" s="181">
        <f t="shared" ca="1" si="3"/>
        <v>698973</v>
      </c>
      <c r="F16" s="188">
        <f t="shared" ca="1" si="3"/>
        <v>1524182</v>
      </c>
      <c r="G16" s="192">
        <f t="shared" ca="1" si="3"/>
        <v>1081218</v>
      </c>
      <c r="H16" s="199">
        <f t="shared" ca="1" si="3"/>
        <v>279804</v>
      </c>
      <c r="J16" s="5" t="s">
        <v>184</v>
      </c>
    </row>
    <row r="17" spans="1:10" x14ac:dyDescent="0.2">
      <c r="A17" s="179">
        <v>14</v>
      </c>
      <c r="B17" s="195"/>
      <c r="C17" s="175">
        <f t="shared" ca="1" si="3"/>
        <v>497067</v>
      </c>
      <c r="D17" s="178">
        <f t="shared" ca="1" si="3"/>
        <v>876836</v>
      </c>
      <c r="E17" s="181">
        <f t="shared" ca="1" si="3"/>
        <v>882380</v>
      </c>
      <c r="F17" s="188">
        <f t="shared" ca="1" si="3"/>
        <v>65395</v>
      </c>
      <c r="G17" s="192">
        <f t="shared" ca="1" si="3"/>
        <v>165294</v>
      </c>
      <c r="H17" s="199">
        <f t="shared" ca="1" si="3"/>
        <v>1617980</v>
      </c>
      <c r="J17" s="5" t="s">
        <v>185</v>
      </c>
    </row>
    <row r="18" spans="1:10" x14ac:dyDescent="0.2">
      <c r="A18" s="179">
        <v>15</v>
      </c>
      <c r="B18" s="195"/>
      <c r="C18" s="175">
        <f t="shared" ca="1" si="3"/>
        <v>585321</v>
      </c>
      <c r="D18" s="178">
        <f t="shared" ca="1" si="3"/>
        <v>585416</v>
      </c>
      <c r="E18" s="181">
        <f t="shared" ca="1" si="3"/>
        <v>502311</v>
      </c>
      <c r="F18" s="188">
        <f t="shared" ca="1" si="3"/>
        <v>916625</v>
      </c>
      <c r="G18" s="192">
        <f t="shared" ca="1" si="3"/>
        <v>1771090</v>
      </c>
      <c r="H18" s="199">
        <f t="shared" ca="1" si="3"/>
        <v>147948</v>
      </c>
      <c r="J18" s="5" t="s">
        <v>186</v>
      </c>
    </row>
    <row r="19" spans="1:10" x14ac:dyDescent="0.2">
      <c r="A19" s="185">
        <v>16</v>
      </c>
      <c r="B19" s="195"/>
      <c r="C19" s="175">
        <f t="shared" ca="1" si="3"/>
        <v>1665374</v>
      </c>
      <c r="D19" s="178">
        <f t="shared" ca="1" si="3"/>
        <v>1207107</v>
      </c>
      <c r="E19" s="181">
        <f t="shared" ca="1" si="3"/>
        <v>741109</v>
      </c>
      <c r="F19" s="188">
        <f t="shared" ca="1" si="3"/>
        <v>105217</v>
      </c>
      <c r="G19" s="192">
        <f t="shared" ca="1" si="3"/>
        <v>1803386</v>
      </c>
      <c r="H19" s="199">
        <f t="shared" ca="1" si="3"/>
        <v>517873</v>
      </c>
      <c r="J19" s="5" t="s">
        <v>187</v>
      </c>
    </row>
    <row r="20" spans="1:10" x14ac:dyDescent="0.2">
      <c r="A20" s="185">
        <v>17</v>
      </c>
      <c r="B20" s="195"/>
      <c r="C20" s="175">
        <f t="shared" ca="1" si="3"/>
        <v>681791</v>
      </c>
      <c r="D20" s="178">
        <f t="shared" ca="1" si="3"/>
        <v>1886941</v>
      </c>
      <c r="E20" s="181">
        <f t="shared" ca="1" si="3"/>
        <v>479535</v>
      </c>
      <c r="F20" s="188">
        <f t="shared" ca="1" si="3"/>
        <v>1084787</v>
      </c>
      <c r="G20" s="192">
        <f t="shared" ca="1" si="3"/>
        <v>1488009</v>
      </c>
      <c r="H20" s="199">
        <f t="shared" ca="1" si="3"/>
        <v>694692</v>
      </c>
      <c r="J20" s="5" t="s">
        <v>188</v>
      </c>
    </row>
    <row r="21" spans="1:10" x14ac:dyDescent="0.2">
      <c r="A21" s="185">
        <v>18</v>
      </c>
      <c r="B21" s="195"/>
      <c r="C21" s="175">
        <f t="shared" ca="1" si="3"/>
        <v>283465</v>
      </c>
      <c r="D21" s="178">
        <f t="shared" ca="1" si="3"/>
        <v>1103930</v>
      </c>
      <c r="E21" s="181">
        <f t="shared" ca="1" si="3"/>
        <v>1167965</v>
      </c>
      <c r="F21" s="188">
        <f t="shared" ca="1" si="3"/>
        <v>923823</v>
      </c>
      <c r="G21" s="192">
        <f t="shared" ca="1" si="3"/>
        <v>1262709</v>
      </c>
      <c r="H21" s="199">
        <f t="shared" ca="1" si="3"/>
        <v>1269299</v>
      </c>
      <c r="J21" s="5" t="s">
        <v>189</v>
      </c>
    </row>
    <row r="22" spans="1:10" x14ac:dyDescent="0.2">
      <c r="A22" s="185">
        <v>19</v>
      </c>
      <c r="B22" s="195"/>
      <c r="C22" s="175">
        <f t="shared" ca="1" si="3"/>
        <v>1599900</v>
      </c>
      <c r="D22" s="178">
        <f t="shared" ca="1" si="3"/>
        <v>1778150</v>
      </c>
      <c r="E22" s="181">
        <f t="shared" ca="1" si="3"/>
        <v>409272</v>
      </c>
      <c r="F22" s="188">
        <f t="shared" ca="1" si="3"/>
        <v>867494</v>
      </c>
      <c r="G22" s="192">
        <f t="shared" ca="1" si="3"/>
        <v>19927</v>
      </c>
      <c r="H22" s="199">
        <f t="shared" ca="1" si="3"/>
        <v>1278481</v>
      </c>
      <c r="J22" s="5" t="s">
        <v>190</v>
      </c>
    </row>
    <row r="23" spans="1:10" x14ac:dyDescent="0.2">
      <c r="A23" s="185">
        <v>20</v>
      </c>
      <c r="B23" s="195"/>
      <c r="C23" s="175">
        <f t="shared" ca="1" si="3"/>
        <v>1146322</v>
      </c>
      <c r="D23" s="178">
        <f t="shared" ca="1" si="3"/>
        <v>604955</v>
      </c>
      <c r="E23" s="181">
        <f t="shared" ca="1" si="3"/>
        <v>630455</v>
      </c>
      <c r="F23" s="188">
        <f t="shared" ca="1" si="3"/>
        <v>916652</v>
      </c>
      <c r="G23" s="192">
        <f t="shared" ca="1" si="3"/>
        <v>589119</v>
      </c>
      <c r="H23" s="199">
        <f t="shared" ca="1" si="3"/>
        <v>1923691</v>
      </c>
      <c r="J23" s="5" t="s">
        <v>191</v>
      </c>
    </row>
    <row r="24" spans="1:10" x14ac:dyDescent="0.2">
      <c r="A24" s="202">
        <v>21</v>
      </c>
      <c r="B24" s="195"/>
      <c r="C24" s="175">
        <f t="shared" ca="1" si="3"/>
        <v>1815192</v>
      </c>
      <c r="D24" s="178">
        <f t="shared" ca="1" si="3"/>
        <v>1649217</v>
      </c>
      <c r="E24" s="181">
        <f t="shared" ca="1" si="3"/>
        <v>1049297</v>
      </c>
      <c r="F24" s="188">
        <f t="shared" ca="1" si="3"/>
        <v>830798</v>
      </c>
      <c r="G24" s="192">
        <f t="shared" ca="1" si="3"/>
        <v>1677058</v>
      </c>
      <c r="H24" s="199">
        <f t="shared" ca="1" si="3"/>
        <v>1836114</v>
      </c>
      <c r="J24" s="5" t="s">
        <v>192</v>
      </c>
    </row>
    <row r="25" spans="1:10" x14ac:dyDescent="0.2">
      <c r="A25" s="202">
        <v>22</v>
      </c>
      <c r="B25" s="195"/>
      <c r="C25" s="175">
        <f t="shared" ca="1" si="3"/>
        <v>1315732</v>
      </c>
      <c r="D25" s="178">
        <f t="shared" ca="1" si="3"/>
        <v>674609</v>
      </c>
      <c r="E25" s="181">
        <f t="shared" ca="1" si="3"/>
        <v>520891</v>
      </c>
      <c r="F25" s="188">
        <f t="shared" ca="1" si="3"/>
        <v>1753015</v>
      </c>
      <c r="G25" s="192">
        <f t="shared" ca="1" si="3"/>
        <v>551652</v>
      </c>
      <c r="H25" s="199">
        <f t="shared" ca="1" si="3"/>
        <v>1187565</v>
      </c>
      <c r="J25" s="5" t="s">
        <v>193</v>
      </c>
    </row>
    <row r="26" spans="1:10" x14ac:dyDescent="0.2">
      <c r="A26" s="202">
        <v>23</v>
      </c>
      <c r="B26" s="195"/>
      <c r="C26" s="175">
        <f t="shared" ca="1" si="3"/>
        <v>316725</v>
      </c>
      <c r="D26" s="178">
        <f t="shared" ca="1" si="3"/>
        <v>826278</v>
      </c>
      <c r="E26" s="181">
        <f t="shared" ca="1" si="3"/>
        <v>1387651</v>
      </c>
      <c r="F26" s="188">
        <f t="shared" ca="1" si="3"/>
        <v>1073113</v>
      </c>
      <c r="G26" s="192">
        <f t="shared" ca="1" si="3"/>
        <v>1895227</v>
      </c>
      <c r="H26" s="199">
        <f t="shared" ca="1" si="3"/>
        <v>521286</v>
      </c>
      <c r="J26" s="5" t="s">
        <v>195</v>
      </c>
    </row>
    <row r="27" spans="1:10" x14ac:dyDescent="0.2">
      <c r="A27" s="202">
        <v>24</v>
      </c>
      <c r="B27" s="195"/>
      <c r="C27" s="175">
        <f t="shared" ca="1" si="3"/>
        <v>375492</v>
      </c>
      <c r="D27" s="178">
        <f t="shared" ca="1" si="3"/>
        <v>1512660</v>
      </c>
      <c r="E27" s="181">
        <f t="shared" ca="1" si="3"/>
        <v>237250</v>
      </c>
      <c r="F27" s="188">
        <f t="shared" ca="1" si="3"/>
        <v>607934</v>
      </c>
      <c r="G27" s="192">
        <f t="shared" ca="1" si="3"/>
        <v>1128764</v>
      </c>
      <c r="H27" s="199">
        <f t="shared" ca="1" si="3"/>
        <v>239790</v>
      </c>
      <c r="J27" s="5" t="s">
        <v>194</v>
      </c>
    </row>
    <row r="28" spans="1:10" x14ac:dyDescent="0.2">
      <c r="A28" s="189">
        <v>25</v>
      </c>
      <c r="B28" s="195"/>
      <c r="C28" s="175">
        <f t="shared" ca="1" si="3"/>
        <v>1855072</v>
      </c>
      <c r="D28" s="178">
        <f t="shared" ca="1" si="3"/>
        <v>148510</v>
      </c>
      <c r="E28" s="181">
        <f t="shared" ca="1" si="3"/>
        <v>1719692</v>
      </c>
      <c r="F28" s="188">
        <f t="shared" ca="1" si="3"/>
        <v>1960609</v>
      </c>
      <c r="G28" s="192">
        <f t="shared" ca="1" si="3"/>
        <v>1280464</v>
      </c>
      <c r="H28" s="199">
        <f t="shared" ca="1" si="3"/>
        <v>484760</v>
      </c>
      <c r="J28" s="5" t="s">
        <v>196</v>
      </c>
    </row>
    <row r="29" spans="1:10" x14ac:dyDescent="0.2">
      <c r="A29" s="189">
        <v>26</v>
      </c>
      <c r="B29" s="195"/>
      <c r="C29" s="175"/>
      <c r="D29" s="178">
        <f t="shared" ref="D29:H92" ca="1" si="4">TRUNC(RAND()*2000000,0)</f>
        <v>79646</v>
      </c>
      <c r="E29" s="181">
        <f t="shared" ca="1" si="4"/>
        <v>1952349</v>
      </c>
      <c r="F29" s="188">
        <f t="shared" ca="1" si="4"/>
        <v>1926796</v>
      </c>
      <c r="G29" s="192">
        <f t="shared" ca="1" si="4"/>
        <v>1444218</v>
      </c>
      <c r="H29" s="199">
        <f t="shared" ca="1" si="4"/>
        <v>1624851</v>
      </c>
      <c r="J29" s="5" t="s">
        <v>197</v>
      </c>
    </row>
    <row r="30" spans="1:10" x14ac:dyDescent="0.2">
      <c r="A30" s="189">
        <v>27</v>
      </c>
      <c r="B30" s="195"/>
      <c r="C30" s="175"/>
      <c r="D30" s="178">
        <f t="shared" ca="1" si="4"/>
        <v>332796</v>
      </c>
      <c r="E30" s="181">
        <f t="shared" ca="1" si="4"/>
        <v>1771520</v>
      </c>
      <c r="F30" s="188">
        <f t="shared" ca="1" si="4"/>
        <v>407057</v>
      </c>
      <c r="G30" s="192">
        <f t="shared" ca="1" si="4"/>
        <v>32732</v>
      </c>
      <c r="H30" s="199">
        <f t="shared" ca="1" si="4"/>
        <v>549948</v>
      </c>
      <c r="J30" s="5" t="s">
        <v>198</v>
      </c>
    </row>
    <row r="31" spans="1:10" x14ac:dyDescent="0.2">
      <c r="A31" s="189">
        <v>28</v>
      </c>
      <c r="B31" s="195"/>
      <c r="C31" s="175"/>
      <c r="D31" s="178">
        <f t="shared" ca="1" si="4"/>
        <v>1439993</v>
      </c>
      <c r="E31" s="181">
        <f t="shared" ca="1" si="4"/>
        <v>653225</v>
      </c>
      <c r="F31" s="188">
        <f t="shared" ca="1" si="4"/>
        <v>34793</v>
      </c>
      <c r="G31" s="192">
        <f t="shared" ca="1" si="4"/>
        <v>62383</v>
      </c>
      <c r="H31" s="199">
        <f t="shared" ca="1" si="4"/>
        <v>1840953</v>
      </c>
      <c r="J31" s="5" t="s">
        <v>199</v>
      </c>
    </row>
    <row r="32" spans="1:10" x14ac:dyDescent="0.2">
      <c r="A32" s="189">
        <v>29</v>
      </c>
      <c r="B32" s="195"/>
      <c r="C32" s="175"/>
      <c r="D32" s="178">
        <f t="shared" ca="1" si="4"/>
        <v>548467</v>
      </c>
      <c r="E32" s="181">
        <f t="shared" ca="1" si="4"/>
        <v>209061</v>
      </c>
      <c r="F32" s="188">
        <f t="shared" ca="1" si="4"/>
        <v>525420</v>
      </c>
      <c r="G32" s="192">
        <f t="shared" ca="1" si="4"/>
        <v>330481</v>
      </c>
      <c r="H32" s="199">
        <f t="shared" ca="1" si="4"/>
        <v>1950376</v>
      </c>
      <c r="J32" s="5" t="s">
        <v>200</v>
      </c>
    </row>
    <row r="33" spans="1:10" x14ac:dyDescent="0.2">
      <c r="A33" s="189">
        <v>30</v>
      </c>
      <c r="B33" s="195"/>
      <c r="C33" s="175"/>
      <c r="D33" s="178">
        <f t="shared" ca="1" si="4"/>
        <v>354675</v>
      </c>
      <c r="E33" s="181">
        <f t="shared" ca="1" si="4"/>
        <v>745462</v>
      </c>
      <c r="F33" s="188">
        <f t="shared" ca="1" si="4"/>
        <v>507903</v>
      </c>
      <c r="G33" s="192">
        <f t="shared" ca="1" si="4"/>
        <v>1206476</v>
      </c>
      <c r="H33" s="199">
        <f t="shared" ca="1" si="4"/>
        <v>1208148</v>
      </c>
      <c r="J33" s="5" t="s">
        <v>173</v>
      </c>
    </row>
    <row r="34" spans="1:10" x14ac:dyDescent="0.2">
      <c r="A34" s="189">
        <v>31</v>
      </c>
      <c r="B34" s="195"/>
      <c r="C34" s="175"/>
      <c r="D34" s="178">
        <f t="shared" ca="1" si="4"/>
        <v>420015</v>
      </c>
      <c r="E34" s="181">
        <f t="shared" ca="1" si="4"/>
        <v>807349</v>
      </c>
      <c r="F34" s="188">
        <f t="shared" ca="1" si="4"/>
        <v>1497314</v>
      </c>
      <c r="G34" s="192">
        <f t="shared" ca="1" si="4"/>
        <v>1091383</v>
      </c>
      <c r="H34" s="199">
        <f t="shared" ca="1" si="4"/>
        <v>274546</v>
      </c>
      <c r="J34" s="5" t="s">
        <v>201</v>
      </c>
    </row>
    <row r="35" spans="1:10" x14ac:dyDescent="0.2">
      <c r="A35" s="189">
        <v>32</v>
      </c>
      <c r="B35" s="195"/>
      <c r="C35" s="175"/>
      <c r="D35" s="178">
        <f t="shared" ca="1" si="4"/>
        <v>1738937</v>
      </c>
      <c r="E35" s="181">
        <f t="shared" ca="1" si="4"/>
        <v>835238</v>
      </c>
      <c r="F35" s="188">
        <f t="shared" ca="1" si="4"/>
        <v>1147220</v>
      </c>
      <c r="G35" s="192">
        <f t="shared" ca="1" si="4"/>
        <v>1528141</v>
      </c>
      <c r="H35" s="199">
        <f t="shared" ca="1" si="4"/>
        <v>1095871</v>
      </c>
      <c r="J35" s="5" t="s">
        <v>202</v>
      </c>
    </row>
    <row r="36" spans="1:10" x14ac:dyDescent="0.2">
      <c r="A36" s="189">
        <v>33</v>
      </c>
      <c r="B36" s="195"/>
      <c r="C36" s="175"/>
      <c r="D36" s="178">
        <f t="shared" ca="1" si="4"/>
        <v>1965255</v>
      </c>
      <c r="E36" s="181">
        <f t="shared" ca="1" si="4"/>
        <v>1250718</v>
      </c>
      <c r="F36" s="188">
        <f t="shared" ca="1" si="4"/>
        <v>428318</v>
      </c>
      <c r="G36" s="192">
        <f t="shared" ca="1" si="4"/>
        <v>1187589</v>
      </c>
      <c r="H36" s="199">
        <f t="shared" ca="1" si="4"/>
        <v>795718</v>
      </c>
      <c r="J36" s="5" t="s">
        <v>203</v>
      </c>
    </row>
    <row r="37" spans="1:10" x14ac:dyDescent="0.2">
      <c r="A37" s="189">
        <v>34</v>
      </c>
      <c r="B37" s="195"/>
      <c r="C37" s="175"/>
      <c r="D37" s="178">
        <f t="shared" ca="1" si="4"/>
        <v>1531437</v>
      </c>
      <c r="E37" s="181">
        <f t="shared" ca="1" si="4"/>
        <v>1801895</v>
      </c>
      <c r="F37" s="188">
        <f t="shared" ca="1" si="4"/>
        <v>928884</v>
      </c>
      <c r="G37" s="192">
        <f t="shared" ca="1" si="4"/>
        <v>1063129</v>
      </c>
      <c r="H37" s="199">
        <f t="shared" ca="1" si="4"/>
        <v>939015</v>
      </c>
      <c r="J37" s="5" t="s">
        <v>204</v>
      </c>
    </row>
    <row r="38" spans="1:10" x14ac:dyDescent="0.2">
      <c r="A38" s="189">
        <v>35</v>
      </c>
      <c r="B38" s="195"/>
      <c r="C38" s="175"/>
      <c r="D38" s="178">
        <f t="shared" ca="1" si="4"/>
        <v>783099</v>
      </c>
      <c r="E38" s="181">
        <f t="shared" ca="1" si="4"/>
        <v>568493</v>
      </c>
      <c r="F38" s="188">
        <f t="shared" ca="1" si="4"/>
        <v>1584022</v>
      </c>
      <c r="G38" s="192">
        <f t="shared" ca="1" si="4"/>
        <v>818368</v>
      </c>
      <c r="H38" s="199">
        <f t="shared" ca="1" si="4"/>
        <v>1152749</v>
      </c>
      <c r="J38" s="5" t="s">
        <v>205</v>
      </c>
    </row>
    <row r="39" spans="1:10" x14ac:dyDescent="0.2">
      <c r="A39" s="189">
        <v>36</v>
      </c>
      <c r="B39" s="195"/>
      <c r="C39" s="175"/>
      <c r="D39" s="178">
        <f t="shared" ca="1" si="4"/>
        <v>386562</v>
      </c>
      <c r="E39" s="181">
        <f t="shared" ca="1" si="4"/>
        <v>808959</v>
      </c>
      <c r="F39" s="188">
        <f t="shared" ca="1" si="4"/>
        <v>944284</v>
      </c>
      <c r="G39" s="192">
        <f t="shared" ca="1" si="4"/>
        <v>905997</v>
      </c>
      <c r="H39" s="199">
        <f t="shared" ca="1" si="4"/>
        <v>1963174</v>
      </c>
      <c r="J39" s="5" t="s">
        <v>206</v>
      </c>
    </row>
    <row r="40" spans="1:10" x14ac:dyDescent="0.2">
      <c r="A40" s="189">
        <v>37</v>
      </c>
      <c r="B40" s="195"/>
      <c r="C40" s="175"/>
      <c r="D40" s="178">
        <f t="shared" ca="1" si="4"/>
        <v>1869756</v>
      </c>
      <c r="E40" s="181">
        <f t="shared" ca="1" si="4"/>
        <v>1793217</v>
      </c>
      <c r="F40" s="188">
        <f t="shared" ca="1" si="4"/>
        <v>604911</v>
      </c>
      <c r="G40" s="192">
        <f t="shared" ca="1" si="4"/>
        <v>495348</v>
      </c>
      <c r="H40" s="199">
        <f t="shared" ca="1" si="4"/>
        <v>1530182</v>
      </c>
      <c r="J40" s="5" t="s">
        <v>207</v>
      </c>
    </row>
    <row r="41" spans="1:10" x14ac:dyDescent="0.2">
      <c r="A41" s="189">
        <v>38</v>
      </c>
      <c r="B41" s="195"/>
      <c r="C41" s="175"/>
      <c r="D41" s="178">
        <f t="shared" ca="1" si="4"/>
        <v>1053786</v>
      </c>
      <c r="E41" s="181">
        <f t="shared" ca="1" si="4"/>
        <v>1694327</v>
      </c>
      <c r="F41" s="188">
        <f t="shared" ca="1" si="4"/>
        <v>1330485</v>
      </c>
      <c r="G41" s="192">
        <f t="shared" ca="1" si="4"/>
        <v>1663016</v>
      </c>
      <c r="H41" s="199">
        <f t="shared" ca="1" si="4"/>
        <v>1798433</v>
      </c>
      <c r="J41" s="5" t="s">
        <v>208</v>
      </c>
    </row>
    <row r="42" spans="1:10" x14ac:dyDescent="0.2">
      <c r="A42" s="189">
        <v>39</v>
      </c>
      <c r="B42" s="195"/>
      <c r="C42" s="175"/>
      <c r="D42" s="178">
        <f t="shared" ca="1" si="4"/>
        <v>1022653</v>
      </c>
      <c r="E42" s="181">
        <f t="shared" ca="1" si="4"/>
        <v>1173101</v>
      </c>
      <c r="F42" s="188">
        <f t="shared" ca="1" si="4"/>
        <v>146077</v>
      </c>
      <c r="G42" s="192">
        <f t="shared" ca="1" si="4"/>
        <v>1084323</v>
      </c>
      <c r="H42" s="199">
        <f t="shared" ca="1" si="4"/>
        <v>1624912</v>
      </c>
      <c r="J42" s="5" t="s">
        <v>209</v>
      </c>
    </row>
    <row r="43" spans="1:10" x14ac:dyDescent="0.2">
      <c r="A43" s="170">
        <v>40</v>
      </c>
      <c r="B43" s="195"/>
      <c r="C43" s="175"/>
      <c r="D43" s="178">
        <f t="shared" ca="1" si="4"/>
        <v>857209</v>
      </c>
      <c r="E43" s="181">
        <f t="shared" ca="1" si="4"/>
        <v>1849271</v>
      </c>
      <c r="F43" s="188">
        <f t="shared" ca="1" si="4"/>
        <v>608298</v>
      </c>
      <c r="G43" s="192">
        <f t="shared" ca="1" si="4"/>
        <v>1225235</v>
      </c>
      <c r="H43" s="199">
        <f t="shared" ca="1" si="4"/>
        <v>669053</v>
      </c>
      <c r="J43" s="5" t="s">
        <v>210</v>
      </c>
    </row>
    <row r="44" spans="1:10" x14ac:dyDescent="0.2">
      <c r="A44" s="170">
        <v>41</v>
      </c>
      <c r="D44" s="178">
        <f t="shared" ca="1" si="4"/>
        <v>1759202</v>
      </c>
    </row>
    <row r="45" spans="1:10" x14ac:dyDescent="0.2">
      <c r="A45" s="170">
        <v>42</v>
      </c>
      <c r="D45" s="178">
        <f t="shared" ca="1" si="4"/>
        <v>310297</v>
      </c>
    </row>
    <row r="46" spans="1:10" x14ac:dyDescent="0.2">
      <c r="A46" s="170">
        <v>43</v>
      </c>
      <c r="D46" s="178">
        <f t="shared" ca="1" si="4"/>
        <v>1046739</v>
      </c>
    </row>
    <row r="47" spans="1:10" x14ac:dyDescent="0.2">
      <c r="A47" s="170">
        <v>44</v>
      </c>
      <c r="D47" s="178">
        <f t="shared" ca="1" si="4"/>
        <v>554073</v>
      </c>
    </row>
    <row r="48" spans="1:10" x14ac:dyDescent="0.2">
      <c r="A48" s="170">
        <v>45</v>
      </c>
      <c r="D48" s="178">
        <f t="shared" ca="1" si="4"/>
        <v>614372</v>
      </c>
    </row>
    <row r="49" spans="1:4" x14ac:dyDescent="0.2">
      <c r="A49" s="170">
        <v>46</v>
      </c>
      <c r="D49" s="178">
        <f t="shared" ca="1" si="4"/>
        <v>277090</v>
      </c>
    </row>
    <row r="50" spans="1:4" x14ac:dyDescent="0.2">
      <c r="A50" s="170">
        <v>47</v>
      </c>
      <c r="D50" s="178">
        <f t="shared" ca="1" si="4"/>
        <v>1552771</v>
      </c>
    </row>
    <row r="51" spans="1:4" x14ac:dyDescent="0.2">
      <c r="A51" s="170">
        <v>48</v>
      </c>
      <c r="D51" s="178">
        <f t="shared" ca="1" si="4"/>
        <v>913945</v>
      </c>
    </row>
    <row r="52" spans="1:4" x14ac:dyDescent="0.2">
      <c r="A52" s="170">
        <v>49</v>
      </c>
      <c r="D52" s="178">
        <f t="shared" ca="1" si="4"/>
        <v>1706934</v>
      </c>
    </row>
    <row r="53" spans="1:4" x14ac:dyDescent="0.2">
      <c r="A53" s="170">
        <v>50</v>
      </c>
      <c r="D53" s="178">
        <f t="shared" ca="1" si="4"/>
        <v>1728823</v>
      </c>
    </row>
    <row r="54" spans="1:4" x14ac:dyDescent="0.2">
      <c r="A54" s="170">
        <v>51</v>
      </c>
      <c r="D54" s="178">
        <f t="shared" ca="1" si="4"/>
        <v>401072</v>
      </c>
    </row>
    <row r="55" spans="1:4" x14ac:dyDescent="0.2">
      <c r="A55" s="170">
        <v>52</v>
      </c>
      <c r="D55" s="178">
        <f t="shared" ca="1" si="4"/>
        <v>1177932</v>
      </c>
    </row>
    <row r="56" spans="1:4" x14ac:dyDescent="0.2">
      <c r="A56" s="170">
        <v>53</v>
      </c>
      <c r="D56" s="178">
        <f t="shared" ca="1" si="4"/>
        <v>1874919</v>
      </c>
    </row>
    <row r="57" spans="1:4" x14ac:dyDescent="0.2">
      <c r="A57" s="170">
        <v>54</v>
      </c>
      <c r="D57" s="178">
        <f t="shared" ca="1" si="4"/>
        <v>24666</v>
      </c>
    </row>
    <row r="58" spans="1:4" x14ac:dyDescent="0.2">
      <c r="A58" s="170">
        <v>55</v>
      </c>
      <c r="D58" s="178">
        <f t="shared" ca="1" si="4"/>
        <v>1883702</v>
      </c>
    </row>
    <row r="59" spans="1:4" x14ac:dyDescent="0.2">
      <c r="A59" s="170">
        <v>56</v>
      </c>
      <c r="D59" s="178">
        <f t="shared" ca="1" si="4"/>
        <v>298675</v>
      </c>
    </row>
    <row r="60" spans="1:4" x14ac:dyDescent="0.2">
      <c r="A60" s="170">
        <v>57</v>
      </c>
      <c r="D60" s="178">
        <f t="shared" ca="1" si="4"/>
        <v>1210215</v>
      </c>
    </row>
    <row r="61" spans="1:4" x14ac:dyDescent="0.2">
      <c r="A61" s="170">
        <v>58</v>
      </c>
      <c r="D61" s="178">
        <f t="shared" ca="1" si="4"/>
        <v>1505249</v>
      </c>
    </row>
    <row r="62" spans="1:4" x14ac:dyDescent="0.2">
      <c r="A62" s="170">
        <v>59</v>
      </c>
      <c r="D62" s="178">
        <f t="shared" ca="1" si="4"/>
        <v>533072</v>
      </c>
    </row>
    <row r="63" spans="1:4" x14ac:dyDescent="0.2">
      <c r="A63" s="170">
        <v>60</v>
      </c>
      <c r="D63" s="178">
        <f t="shared" ca="1" si="4"/>
        <v>525978</v>
      </c>
    </row>
    <row r="64" spans="1:4" x14ac:dyDescent="0.2">
      <c r="A64" s="170">
        <v>61</v>
      </c>
      <c r="D64" s="178">
        <f t="shared" ca="1" si="4"/>
        <v>548001</v>
      </c>
    </row>
    <row r="65" spans="1:4" x14ac:dyDescent="0.2">
      <c r="A65" s="170">
        <v>62</v>
      </c>
      <c r="D65" s="178">
        <f t="shared" ca="1" si="4"/>
        <v>810383</v>
      </c>
    </row>
    <row r="66" spans="1:4" x14ac:dyDescent="0.2">
      <c r="A66" s="170">
        <v>63</v>
      </c>
      <c r="D66" s="178">
        <f t="shared" ca="1" si="4"/>
        <v>131025</v>
      </c>
    </row>
    <row r="67" spans="1:4" x14ac:dyDescent="0.2">
      <c r="A67" s="170">
        <v>64</v>
      </c>
      <c r="D67" s="178">
        <f t="shared" ca="1" si="4"/>
        <v>277749</v>
      </c>
    </row>
    <row r="68" spans="1:4" x14ac:dyDescent="0.2">
      <c r="A68" s="170">
        <v>65</v>
      </c>
      <c r="D68" s="178">
        <f t="shared" ca="1" si="4"/>
        <v>67579</v>
      </c>
    </row>
    <row r="69" spans="1:4" x14ac:dyDescent="0.2">
      <c r="A69" s="170">
        <v>66</v>
      </c>
      <c r="D69" s="178">
        <f t="shared" ca="1" si="4"/>
        <v>112049</v>
      </c>
    </row>
    <row r="70" spans="1:4" x14ac:dyDescent="0.2">
      <c r="A70" s="170">
        <v>67</v>
      </c>
      <c r="D70" s="178">
        <f t="shared" ca="1" si="4"/>
        <v>1377226</v>
      </c>
    </row>
    <row r="71" spans="1:4" x14ac:dyDescent="0.2">
      <c r="A71" s="170">
        <v>68</v>
      </c>
      <c r="D71" s="178">
        <f t="shared" ca="1" si="4"/>
        <v>1378511</v>
      </c>
    </row>
    <row r="72" spans="1:4" x14ac:dyDescent="0.2">
      <c r="A72" s="170">
        <v>69</v>
      </c>
      <c r="D72" s="178">
        <f t="shared" ca="1" si="4"/>
        <v>421275</v>
      </c>
    </row>
    <row r="73" spans="1:4" x14ac:dyDescent="0.2">
      <c r="A73" s="170">
        <v>70</v>
      </c>
      <c r="D73" s="178">
        <f t="shared" ca="1" si="4"/>
        <v>1491369</v>
      </c>
    </row>
    <row r="74" spans="1:4" x14ac:dyDescent="0.2">
      <c r="A74" s="170">
        <v>71</v>
      </c>
      <c r="D74" s="178">
        <f t="shared" ca="1" si="4"/>
        <v>1573798</v>
      </c>
    </row>
    <row r="75" spans="1:4" x14ac:dyDescent="0.2">
      <c r="A75" s="170">
        <v>72</v>
      </c>
      <c r="D75" s="178">
        <f t="shared" ca="1" si="4"/>
        <v>1040385</v>
      </c>
    </row>
    <row r="76" spans="1:4" x14ac:dyDescent="0.2">
      <c r="A76" s="170">
        <v>73</v>
      </c>
      <c r="D76" s="178">
        <f t="shared" ca="1" si="4"/>
        <v>1886297</v>
      </c>
    </row>
    <row r="77" spans="1:4" x14ac:dyDescent="0.2">
      <c r="A77" s="170">
        <v>74</v>
      </c>
      <c r="D77" s="178">
        <f t="shared" ca="1" si="4"/>
        <v>1105142</v>
      </c>
    </row>
    <row r="78" spans="1:4" x14ac:dyDescent="0.2">
      <c r="A78" s="170">
        <v>75</v>
      </c>
      <c r="D78" s="178">
        <f t="shared" ca="1" si="4"/>
        <v>574347</v>
      </c>
    </row>
    <row r="79" spans="1:4" x14ac:dyDescent="0.2">
      <c r="A79" s="170">
        <v>76</v>
      </c>
      <c r="D79" s="178">
        <f t="shared" ca="1" si="4"/>
        <v>179897</v>
      </c>
    </row>
    <row r="80" spans="1:4" x14ac:dyDescent="0.2">
      <c r="A80" s="170">
        <v>77</v>
      </c>
      <c r="D80" s="178">
        <f t="shared" ca="1" si="4"/>
        <v>685714</v>
      </c>
    </row>
    <row r="81" spans="1:4" x14ac:dyDescent="0.2">
      <c r="A81" s="170">
        <v>78</v>
      </c>
      <c r="D81" s="178">
        <f t="shared" ca="1" si="4"/>
        <v>285270</v>
      </c>
    </row>
    <row r="82" spans="1:4" x14ac:dyDescent="0.2">
      <c r="A82" s="170">
        <v>79</v>
      </c>
      <c r="D82" s="178">
        <f t="shared" ca="1" si="4"/>
        <v>1789914</v>
      </c>
    </row>
    <row r="83" spans="1:4" x14ac:dyDescent="0.2">
      <c r="A83" s="170">
        <v>80</v>
      </c>
      <c r="D83" s="178">
        <f t="shared" ca="1" si="4"/>
        <v>700129</v>
      </c>
    </row>
    <row r="84" spans="1:4" x14ac:dyDescent="0.2">
      <c r="A84" s="170">
        <v>81</v>
      </c>
      <c r="D84" s="178">
        <f t="shared" ca="1" si="4"/>
        <v>997300</v>
      </c>
    </row>
    <row r="85" spans="1:4" x14ac:dyDescent="0.2">
      <c r="A85" s="170">
        <v>82</v>
      </c>
      <c r="D85" s="178">
        <f t="shared" ca="1" si="4"/>
        <v>157283</v>
      </c>
    </row>
    <row r="86" spans="1:4" x14ac:dyDescent="0.2">
      <c r="A86" s="170">
        <v>83</v>
      </c>
      <c r="D86" s="178">
        <f t="shared" ca="1" si="4"/>
        <v>949034</v>
      </c>
    </row>
    <row r="87" spans="1:4" x14ac:dyDescent="0.2">
      <c r="A87" s="170">
        <v>84</v>
      </c>
      <c r="D87" s="178">
        <f t="shared" ca="1" si="4"/>
        <v>253200</v>
      </c>
    </row>
    <row r="88" spans="1:4" x14ac:dyDescent="0.2">
      <c r="A88" s="170">
        <v>85</v>
      </c>
      <c r="D88" s="178">
        <f t="shared" ca="1" si="4"/>
        <v>1406904</v>
      </c>
    </row>
    <row r="89" spans="1:4" x14ac:dyDescent="0.2">
      <c r="A89" s="170">
        <v>86</v>
      </c>
      <c r="D89" s="178">
        <f t="shared" ca="1" si="4"/>
        <v>1133006</v>
      </c>
    </row>
    <row r="90" spans="1:4" x14ac:dyDescent="0.2">
      <c r="A90" s="170">
        <v>87</v>
      </c>
      <c r="D90" s="178">
        <f t="shared" ca="1" si="4"/>
        <v>636086</v>
      </c>
    </row>
    <row r="91" spans="1:4" x14ac:dyDescent="0.2">
      <c r="A91" s="170">
        <v>88</v>
      </c>
      <c r="D91" s="178">
        <f t="shared" ca="1" si="4"/>
        <v>1830731</v>
      </c>
    </row>
    <row r="92" spans="1:4" x14ac:dyDescent="0.2">
      <c r="A92" s="170">
        <v>89</v>
      </c>
      <c r="D92" s="178">
        <f t="shared" ca="1" si="4"/>
        <v>1440034</v>
      </c>
    </row>
    <row r="93" spans="1:4" x14ac:dyDescent="0.2">
      <c r="A93" s="170">
        <v>90</v>
      </c>
      <c r="D93" s="178">
        <f t="shared" ref="D93:D128" ca="1" si="5">TRUNC(RAND()*2000000,0)</f>
        <v>763806</v>
      </c>
    </row>
    <row r="94" spans="1:4" x14ac:dyDescent="0.2">
      <c r="A94" s="170">
        <v>91</v>
      </c>
      <c r="D94" s="178">
        <f t="shared" ca="1" si="5"/>
        <v>871067</v>
      </c>
    </row>
    <row r="95" spans="1:4" x14ac:dyDescent="0.2">
      <c r="A95" s="170">
        <v>92</v>
      </c>
      <c r="D95" s="178">
        <f t="shared" ca="1" si="5"/>
        <v>58140</v>
      </c>
    </row>
    <row r="96" spans="1:4" x14ac:dyDescent="0.2">
      <c r="A96" s="170">
        <v>93</v>
      </c>
      <c r="D96" s="178">
        <f t="shared" ca="1" si="5"/>
        <v>1283826</v>
      </c>
    </row>
    <row r="97" spans="1:4" x14ac:dyDescent="0.2">
      <c r="A97" s="170">
        <v>94</v>
      </c>
      <c r="D97" s="178">
        <f t="shared" ca="1" si="5"/>
        <v>1039866</v>
      </c>
    </row>
    <row r="98" spans="1:4" x14ac:dyDescent="0.2">
      <c r="A98" s="170">
        <v>95</v>
      </c>
      <c r="D98" s="178">
        <f t="shared" ca="1" si="5"/>
        <v>1275688</v>
      </c>
    </row>
    <row r="99" spans="1:4" x14ac:dyDescent="0.2">
      <c r="A99" s="170">
        <v>96</v>
      </c>
      <c r="D99" s="178">
        <f t="shared" ca="1" si="5"/>
        <v>436894</v>
      </c>
    </row>
    <row r="100" spans="1:4" x14ac:dyDescent="0.2">
      <c r="A100" s="170">
        <v>97</v>
      </c>
      <c r="D100" s="178">
        <f t="shared" ca="1" si="5"/>
        <v>353302</v>
      </c>
    </row>
    <row r="101" spans="1:4" x14ac:dyDescent="0.2">
      <c r="A101" s="170">
        <v>98</v>
      </c>
      <c r="D101" s="178">
        <f t="shared" ca="1" si="5"/>
        <v>30799</v>
      </c>
    </row>
    <row r="102" spans="1:4" x14ac:dyDescent="0.2">
      <c r="A102" s="170">
        <v>99</v>
      </c>
      <c r="D102" s="178">
        <f t="shared" ca="1" si="5"/>
        <v>1832053</v>
      </c>
    </row>
    <row r="103" spans="1:4" x14ac:dyDescent="0.2">
      <c r="A103" s="170">
        <v>100</v>
      </c>
      <c r="D103" s="178">
        <f t="shared" ca="1" si="5"/>
        <v>1985932</v>
      </c>
    </row>
    <row r="104" spans="1:4" x14ac:dyDescent="0.2">
      <c r="A104" s="170">
        <v>101</v>
      </c>
      <c r="D104" s="178">
        <f t="shared" ca="1" si="5"/>
        <v>319890</v>
      </c>
    </row>
    <row r="105" spans="1:4" x14ac:dyDescent="0.2">
      <c r="A105" s="170">
        <v>102</v>
      </c>
      <c r="D105" s="178">
        <f t="shared" ca="1" si="5"/>
        <v>1301125</v>
      </c>
    </row>
    <row r="106" spans="1:4" x14ac:dyDescent="0.2">
      <c r="A106" s="170">
        <v>103</v>
      </c>
      <c r="D106" s="178">
        <f t="shared" ca="1" si="5"/>
        <v>1907799</v>
      </c>
    </row>
    <row r="107" spans="1:4" x14ac:dyDescent="0.2">
      <c r="A107" s="170">
        <v>104</v>
      </c>
      <c r="D107" s="178">
        <f t="shared" ca="1" si="5"/>
        <v>422609</v>
      </c>
    </row>
    <row r="108" spans="1:4" x14ac:dyDescent="0.2">
      <c r="A108" s="170">
        <v>105</v>
      </c>
      <c r="D108" s="178">
        <f t="shared" ca="1" si="5"/>
        <v>1488756</v>
      </c>
    </row>
    <row r="109" spans="1:4" x14ac:dyDescent="0.2">
      <c r="A109" s="170">
        <v>106</v>
      </c>
      <c r="D109" s="178">
        <f t="shared" ca="1" si="5"/>
        <v>840108</v>
      </c>
    </row>
    <row r="110" spans="1:4" x14ac:dyDescent="0.2">
      <c r="A110" s="170">
        <v>107</v>
      </c>
      <c r="D110" s="178">
        <f t="shared" ca="1" si="5"/>
        <v>293039</v>
      </c>
    </row>
    <row r="111" spans="1:4" x14ac:dyDescent="0.2">
      <c r="A111" s="170">
        <v>108</v>
      </c>
      <c r="D111" s="178">
        <f t="shared" ca="1" si="5"/>
        <v>1138364</v>
      </c>
    </row>
    <row r="112" spans="1:4" x14ac:dyDescent="0.2">
      <c r="A112" s="170">
        <v>109</v>
      </c>
      <c r="D112" s="178">
        <f t="shared" ca="1" si="5"/>
        <v>837479</v>
      </c>
    </row>
    <row r="113" spans="1:4" x14ac:dyDescent="0.2">
      <c r="A113" s="170">
        <v>110</v>
      </c>
      <c r="D113" s="178">
        <f t="shared" ca="1" si="5"/>
        <v>1413124</v>
      </c>
    </row>
    <row r="114" spans="1:4" x14ac:dyDescent="0.2">
      <c r="A114" s="170">
        <v>111</v>
      </c>
      <c r="D114" s="178">
        <f t="shared" ca="1" si="5"/>
        <v>1690835</v>
      </c>
    </row>
    <row r="115" spans="1:4" x14ac:dyDescent="0.2">
      <c r="A115" s="170">
        <v>112</v>
      </c>
      <c r="D115" s="178">
        <f t="shared" ca="1" si="5"/>
        <v>327956</v>
      </c>
    </row>
    <row r="116" spans="1:4" x14ac:dyDescent="0.2">
      <c r="A116" s="170">
        <v>113</v>
      </c>
      <c r="D116" s="178">
        <f t="shared" ca="1" si="5"/>
        <v>1164701</v>
      </c>
    </row>
    <row r="117" spans="1:4" x14ac:dyDescent="0.2">
      <c r="A117" s="170">
        <v>114</v>
      </c>
      <c r="D117" s="178">
        <f t="shared" ca="1" si="5"/>
        <v>1031274</v>
      </c>
    </row>
    <row r="118" spans="1:4" x14ac:dyDescent="0.2">
      <c r="A118" s="170">
        <v>115</v>
      </c>
      <c r="D118" s="178">
        <f t="shared" ca="1" si="5"/>
        <v>855383</v>
      </c>
    </row>
    <row r="119" spans="1:4" x14ac:dyDescent="0.2">
      <c r="A119" s="170">
        <v>116</v>
      </c>
      <c r="D119" s="178">
        <f t="shared" ca="1" si="5"/>
        <v>1339630</v>
      </c>
    </row>
    <row r="120" spans="1:4" x14ac:dyDescent="0.2">
      <c r="A120" s="170">
        <v>117</v>
      </c>
      <c r="D120" s="178">
        <f t="shared" ca="1" si="5"/>
        <v>1900481</v>
      </c>
    </row>
    <row r="121" spans="1:4" x14ac:dyDescent="0.2">
      <c r="A121" s="170">
        <v>118</v>
      </c>
      <c r="D121" s="178">
        <f t="shared" ca="1" si="5"/>
        <v>632638</v>
      </c>
    </row>
    <row r="122" spans="1:4" x14ac:dyDescent="0.2">
      <c r="A122" s="170">
        <v>119</v>
      </c>
      <c r="D122" s="178">
        <f t="shared" ca="1" si="5"/>
        <v>1724005</v>
      </c>
    </row>
    <row r="123" spans="1:4" x14ac:dyDescent="0.2">
      <c r="A123" s="170">
        <v>120</v>
      </c>
      <c r="D123" s="178">
        <f t="shared" ca="1" si="5"/>
        <v>563354</v>
      </c>
    </row>
    <row r="124" spans="1:4" x14ac:dyDescent="0.2">
      <c r="A124" s="170">
        <v>121</v>
      </c>
      <c r="D124" s="178">
        <f t="shared" ca="1" si="5"/>
        <v>684684</v>
      </c>
    </row>
    <row r="125" spans="1:4" x14ac:dyDescent="0.2">
      <c r="A125" s="170">
        <v>122</v>
      </c>
      <c r="D125" s="178">
        <f t="shared" ca="1" si="5"/>
        <v>420402</v>
      </c>
    </row>
    <row r="126" spans="1:4" x14ac:dyDescent="0.2">
      <c r="A126" s="170">
        <v>123</v>
      </c>
      <c r="D126" s="178">
        <f t="shared" ca="1" si="5"/>
        <v>1473901</v>
      </c>
    </row>
    <row r="127" spans="1:4" x14ac:dyDescent="0.2">
      <c r="A127" s="170">
        <v>124</v>
      </c>
      <c r="D127" s="178">
        <f t="shared" ca="1" si="5"/>
        <v>752007</v>
      </c>
    </row>
    <row r="128" spans="1:4" x14ac:dyDescent="0.2">
      <c r="A128" s="170">
        <v>125</v>
      </c>
      <c r="D128" s="178">
        <f t="shared" ca="1" si="5"/>
        <v>248088</v>
      </c>
    </row>
    <row r="129" spans="1:4" x14ac:dyDescent="0.2">
      <c r="A129" s="170">
        <v>126</v>
      </c>
      <c r="D129" s="178"/>
    </row>
    <row r="130" spans="1:4" x14ac:dyDescent="0.2">
      <c r="A130" s="170">
        <v>127</v>
      </c>
    </row>
    <row r="131" spans="1:4" x14ac:dyDescent="0.2">
      <c r="A131" s="170">
        <v>128</v>
      </c>
    </row>
    <row r="132" spans="1:4" x14ac:dyDescent="0.2">
      <c r="A132" s="170">
        <v>129</v>
      </c>
    </row>
    <row r="133" spans="1:4" x14ac:dyDescent="0.2">
      <c r="A133" s="170">
        <v>130</v>
      </c>
    </row>
    <row r="134" spans="1:4" x14ac:dyDescent="0.2">
      <c r="A134" s="170">
        <v>131</v>
      </c>
    </row>
    <row r="135" spans="1:4" x14ac:dyDescent="0.2">
      <c r="A135" s="170">
        <v>132</v>
      </c>
    </row>
    <row r="136" spans="1:4" x14ac:dyDescent="0.2">
      <c r="A136" s="170">
        <v>133</v>
      </c>
    </row>
    <row r="137" spans="1:4" x14ac:dyDescent="0.2">
      <c r="A137" s="170">
        <v>134</v>
      </c>
    </row>
    <row r="138" spans="1:4" x14ac:dyDescent="0.2">
      <c r="A138" s="170">
        <v>135</v>
      </c>
    </row>
    <row r="139" spans="1:4" x14ac:dyDescent="0.2">
      <c r="A139" s="170">
        <v>136</v>
      </c>
    </row>
    <row r="140" spans="1:4" x14ac:dyDescent="0.2">
      <c r="A140" s="170">
        <v>137</v>
      </c>
    </row>
    <row r="141" spans="1:4" x14ac:dyDescent="0.2">
      <c r="A141" s="170">
        <v>138</v>
      </c>
    </row>
    <row r="142" spans="1:4" x14ac:dyDescent="0.2">
      <c r="A142" s="170">
        <v>139</v>
      </c>
    </row>
    <row r="143" spans="1:4" x14ac:dyDescent="0.2">
      <c r="A143" s="170">
        <v>140</v>
      </c>
    </row>
    <row r="144" spans="1:4" x14ac:dyDescent="0.2">
      <c r="A144" s="170">
        <v>141</v>
      </c>
    </row>
    <row r="145" spans="1:1" x14ac:dyDescent="0.2">
      <c r="A145" s="170">
        <v>142</v>
      </c>
    </row>
    <row r="146" spans="1:1" x14ac:dyDescent="0.2">
      <c r="A146" s="170">
        <v>143</v>
      </c>
    </row>
    <row r="147" spans="1:1" x14ac:dyDescent="0.2">
      <c r="A147" s="170">
        <v>144</v>
      </c>
    </row>
    <row r="148" spans="1:1" x14ac:dyDescent="0.2">
      <c r="A148" s="170">
        <v>145</v>
      </c>
    </row>
    <row r="149" spans="1:1" x14ac:dyDescent="0.2">
      <c r="A149" s="170">
        <v>146</v>
      </c>
    </row>
    <row r="150" spans="1:1" x14ac:dyDescent="0.2">
      <c r="A150" s="170">
        <v>147</v>
      </c>
    </row>
    <row r="151" spans="1:1" x14ac:dyDescent="0.2">
      <c r="A151" s="170">
        <v>148</v>
      </c>
    </row>
    <row r="152" spans="1:1" x14ac:dyDescent="0.2">
      <c r="A152" s="170">
        <v>149</v>
      </c>
    </row>
    <row r="153" spans="1:1" x14ac:dyDescent="0.2">
      <c r="A153" s="170">
        <v>150</v>
      </c>
    </row>
    <row r="154" spans="1:1" x14ac:dyDescent="0.2">
      <c r="A154" s="170">
        <v>151</v>
      </c>
    </row>
    <row r="155" spans="1:1" x14ac:dyDescent="0.2">
      <c r="A155" s="170">
        <v>152</v>
      </c>
    </row>
    <row r="156" spans="1:1" x14ac:dyDescent="0.2">
      <c r="A156" s="170">
        <v>153</v>
      </c>
    </row>
    <row r="157" spans="1:1" x14ac:dyDescent="0.2">
      <c r="A157" s="170">
        <v>154</v>
      </c>
    </row>
    <row r="158" spans="1:1" x14ac:dyDescent="0.2">
      <c r="A158" s="170">
        <v>155</v>
      </c>
    </row>
    <row r="159" spans="1:1" x14ac:dyDescent="0.2">
      <c r="A159" s="170">
        <v>156</v>
      </c>
    </row>
    <row r="160" spans="1:1" x14ac:dyDescent="0.2">
      <c r="A160" s="170">
        <v>157</v>
      </c>
    </row>
    <row r="161" spans="1:1" x14ac:dyDescent="0.2">
      <c r="A161" s="170">
        <v>158</v>
      </c>
    </row>
    <row r="162" spans="1:1" x14ac:dyDescent="0.2">
      <c r="A162" s="170">
        <v>159</v>
      </c>
    </row>
    <row r="163" spans="1:1" x14ac:dyDescent="0.2">
      <c r="A163" s="170">
        <v>160</v>
      </c>
    </row>
    <row r="164" spans="1:1" x14ac:dyDescent="0.2">
      <c r="A164" s="170">
        <v>161</v>
      </c>
    </row>
    <row r="165" spans="1:1" x14ac:dyDescent="0.2">
      <c r="A165" s="170">
        <v>162</v>
      </c>
    </row>
    <row r="166" spans="1:1" x14ac:dyDescent="0.2">
      <c r="A166" s="170">
        <v>163</v>
      </c>
    </row>
    <row r="167" spans="1:1" x14ac:dyDescent="0.2">
      <c r="A167" s="170">
        <v>164</v>
      </c>
    </row>
    <row r="168" spans="1:1" x14ac:dyDescent="0.2">
      <c r="A168" s="170">
        <v>165</v>
      </c>
    </row>
    <row r="169" spans="1:1" x14ac:dyDescent="0.2">
      <c r="A169" s="170">
        <v>166</v>
      </c>
    </row>
    <row r="170" spans="1:1" x14ac:dyDescent="0.2">
      <c r="A170" s="170">
        <v>167</v>
      </c>
    </row>
    <row r="171" spans="1:1" x14ac:dyDescent="0.2">
      <c r="A171" s="170">
        <v>168</v>
      </c>
    </row>
    <row r="172" spans="1:1" x14ac:dyDescent="0.2">
      <c r="A172" s="170">
        <v>169</v>
      </c>
    </row>
    <row r="173" spans="1:1" x14ac:dyDescent="0.2">
      <c r="A173" s="170">
        <v>170</v>
      </c>
    </row>
    <row r="174" spans="1:1" x14ac:dyDescent="0.2">
      <c r="A174" s="170">
        <v>171</v>
      </c>
    </row>
    <row r="175" spans="1:1" x14ac:dyDescent="0.2">
      <c r="A175" s="170">
        <v>172</v>
      </c>
    </row>
    <row r="176" spans="1:1" x14ac:dyDescent="0.2">
      <c r="A176" s="170">
        <v>173</v>
      </c>
    </row>
    <row r="177" spans="1:1" x14ac:dyDescent="0.2">
      <c r="A177" s="170">
        <v>174</v>
      </c>
    </row>
    <row r="178" spans="1:1" x14ac:dyDescent="0.2">
      <c r="A178" s="170">
        <v>175</v>
      </c>
    </row>
    <row r="179" spans="1:1" x14ac:dyDescent="0.2">
      <c r="A179" s="170">
        <v>176</v>
      </c>
    </row>
    <row r="180" spans="1:1" x14ac:dyDescent="0.2">
      <c r="A180" s="170">
        <v>177</v>
      </c>
    </row>
    <row r="181" spans="1:1" x14ac:dyDescent="0.2">
      <c r="A181" s="170">
        <v>178</v>
      </c>
    </row>
    <row r="182" spans="1:1" x14ac:dyDescent="0.2">
      <c r="A182" s="170">
        <v>179</v>
      </c>
    </row>
    <row r="183" spans="1:1" x14ac:dyDescent="0.2">
      <c r="A183" s="170">
        <v>180</v>
      </c>
    </row>
    <row r="184" spans="1:1" x14ac:dyDescent="0.2">
      <c r="A184" s="170">
        <v>181</v>
      </c>
    </row>
    <row r="185" spans="1:1" x14ac:dyDescent="0.2">
      <c r="A185" s="170">
        <v>182</v>
      </c>
    </row>
    <row r="186" spans="1:1" x14ac:dyDescent="0.2">
      <c r="A186" s="170">
        <v>183</v>
      </c>
    </row>
    <row r="187" spans="1:1" x14ac:dyDescent="0.2">
      <c r="A187" s="170">
        <v>184</v>
      </c>
    </row>
    <row r="188" spans="1:1" x14ac:dyDescent="0.2">
      <c r="A188" s="170">
        <v>185</v>
      </c>
    </row>
    <row r="189" spans="1:1" x14ac:dyDescent="0.2">
      <c r="A189" s="170">
        <v>186</v>
      </c>
    </row>
    <row r="190" spans="1:1" x14ac:dyDescent="0.2">
      <c r="A190" s="170">
        <v>187</v>
      </c>
    </row>
    <row r="191" spans="1:1" x14ac:dyDescent="0.2">
      <c r="A191" s="170">
        <v>188</v>
      </c>
    </row>
    <row r="192" spans="1:1" x14ac:dyDescent="0.2">
      <c r="A192" s="170">
        <v>189</v>
      </c>
    </row>
    <row r="193" spans="1:1" x14ac:dyDescent="0.2">
      <c r="A193" s="170">
        <v>190</v>
      </c>
    </row>
    <row r="194" spans="1:1" x14ac:dyDescent="0.2">
      <c r="A194" s="170">
        <v>191</v>
      </c>
    </row>
    <row r="195" spans="1:1" x14ac:dyDescent="0.2">
      <c r="A195" s="170">
        <v>192</v>
      </c>
    </row>
    <row r="196" spans="1:1" x14ac:dyDescent="0.2">
      <c r="A196" s="170">
        <v>193</v>
      </c>
    </row>
    <row r="197" spans="1:1" x14ac:dyDescent="0.2">
      <c r="A197" s="170">
        <v>194</v>
      </c>
    </row>
    <row r="198" spans="1:1" x14ac:dyDescent="0.2">
      <c r="A198" s="170">
        <v>195</v>
      </c>
    </row>
    <row r="199" spans="1:1" x14ac:dyDescent="0.2">
      <c r="A199" s="170">
        <v>196</v>
      </c>
    </row>
    <row r="200" spans="1:1" x14ac:dyDescent="0.2">
      <c r="A200" s="170">
        <v>197</v>
      </c>
    </row>
    <row r="201" spans="1:1" x14ac:dyDescent="0.2">
      <c r="A201" s="170">
        <v>198</v>
      </c>
    </row>
    <row r="202" spans="1:1" x14ac:dyDescent="0.2">
      <c r="A202" s="170">
        <v>199</v>
      </c>
    </row>
    <row r="203" spans="1:1" x14ac:dyDescent="0.2">
      <c r="A203" s="170">
        <v>200</v>
      </c>
    </row>
    <row r="204" spans="1:1" x14ac:dyDescent="0.2">
      <c r="A204" s="170">
        <v>201</v>
      </c>
    </row>
    <row r="205" spans="1:1" x14ac:dyDescent="0.2">
      <c r="A205" s="170">
        <v>202</v>
      </c>
    </row>
    <row r="206" spans="1:1" x14ac:dyDescent="0.2">
      <c r="A206" s="170">
        <v>203</v>
      </c>
    </row>
    <row r="207" spans="1:1" x14ac:dyDescent="0.2">
      <c r="A207" s="170">
        <v>204</v>
      </c>
    </row>
    <row r="208" spans="1:1" x14ac:dyDescent="0.2">
      <c r="A208" s="170">
        <v>205</v>
      </c>
    </row>
    <row r="209" spans="1:1" x14ac:dyDescent="0.2">
      <c r="A209" s="170">
        <v>206</v>
      </c>
    </row>
    <row r="210" spans="1:1" x14ac:dyDescent="0.2">
      <c r="A210" s="170">
        <v>207</v>
      </c>
    </row>
    <row r="211" spans="1:1" x14ac:dyDescent="0.2">
      <c r="A211" s="170">
        <v>208</v>
      </c>
    </row>
    <row r="212" spans="1:1" x14ac:dyDescent="0.2">
      <c r="A212" s="170">
        <v>209</v>
      </c>
    </row>
    <row r="213" spans="1:1" x14ac:dyDescent="0.2">
      <c r="A213" s="170">
        <v>210</v>
      </c>
    </row>
    <row r="214" spans="1:1" x14ac:dyDescent="0.2">
      <c r="A214" s="170">
        <v>211</v>
      </c>
    </row>
    <row r="215" spans="1:1" x14ac:dyDescent="0.2">
      <c r="A215" s="170">
        <v>212</v>
      </c>
    </row>
    <row r="216" spans="1:1" x14ac:dyDescent="0.2">
      <c r="A216" s="170">
        <v>213</v>
      </c>
    </row>
    <row r="217" spans="1:1" x14ac:dyDescent="0.2">
      <c r="A217" s="170">
        <v>214</v>
      </c>
    </row>
    <row r="218" spans="1:1" x14ac:dyDescent="0.2">
      <c r="A218" s="170">
        <v>215</v>
      </c>
    </row>
    <row r="219" spans="1:1" x14ac:dyDescent="0.2">
      <c r="A219" s="170">
        <v>216</v>
      </c>
    </row>
    <row r="220" spans="1:1" x14ac:dyDescent="0.2">
      <c r="A220" s="170">
        <v>217</v>
      </c>
    </row>
    <row r="221" spans="1:1" x14ac:dyDescent="0.2">
      <c r="A221" s="170">
        <v>218</v>
      </c>
    </row>
    <row r="222" spans="1:1" x14ac:dyDescent="0.2">
      <c r="A222" s="170">
        <v>219</v>
      </c>
    </row>
    <row r="223" spans="1:1" x14ac:dyDescent="0.2">
      <c r="A223" s="170">
        <v>220</v>
      </c>
    </row>
    <row r="224" spans="1:1" x14ac:dyDescent="0.2">
      <c r="A224" s="170">
        <v>221</v>
      </c>
    </row>
    <row r="225" spans="1:1" x14ac:dyDescent="0.2">
      <c r="A225" s="170">
        <v>222</v>
      </c>
    </row>
    <row r="226" spans="1:1" x14ac:dyDescent="0.2">
      <c r="A226" s="170">
        <v>223</v>
      </c>
    </row>
    <row r="227" spans="1:1" x14ac:dyDescent="0.2">
      <c r="A227" s="170">
        <v>224</v>
      </c>
    </row>
    <row r="228" spans="1:1" x14ac:dyDescent="0.2">
      <c r="A228" s="170">
        <v>225</v>
      </c>
    </row>
    <row r="229" spans="1:1" x14ac:dyDescent="0.2">
      <c r="A229" s="170">
        <v>226</v>
      </c>
    </row>
    <row r="230" spans="1:1" x14ac:dyDescent="0.2">
      <c r="A230" s="170">
        <v>227</v>
      </c>
    </row>
    <row r="231" spans="1:1" x14ac:dyDescent="0.2">
      <c r="A231" s="170">
        <v>228</v>
      </c>
    </row>
    <row r="232" spans="1:1" x14ac:dyDescent="0.2">
      <c r="A232" s="170">
        <v>229</v>
      </c>
    </row>
    <row r="233" spans="1:1" x14ac:dyDescent="0.2">
      <c r="A233" s="170">
        <v>230</v>
      </c>
    </row>
    <row r="234" spans="1:1" x14ac:dyDescent="0.2">
      <c r="A234" s="170">
        <v>231</v>
      </c>
    </row>
    <row r="235" spans="1:1" x14ac:dyDescent="0.2">
      <c r="A235" s="170">
        <v>232</v>
      </c>
    </row>
    <row r="236" spans="1:1" x14ac:dyDescent="0.2">
      <c r="A236" s="170">
        <v>233</v>
      </c>
    </row>
    <row r="237" spans="1:1" x14ac:dyDescent="0.2">
      <c r="A237" s="170">
        <v>234</v>
      </c>
    </row>
    <row r="238" spans="1:1" x14ac:dyDescent="0.2">
      <c r="A238" s="170">
        <v>235</v>
      </c>
    </row>
    <row r="239" spans="1:1" x14ac:dyDescent="0.2">
      <c r="A239" s="170">
        <v>236</v>
      </c>
    </row>
    <row r="240" spans="1:1" x14ac:dyDescent="0.2">
      <c r="A240" s="170">
        <v>237</v>
      </c>
    </row>
    <row r="241" spans="1:1" x14ac:dyDescent="0.2">
      <c r="A241" s="170">
        <v>238</v>
      </c>
    </row>
    <row r="242" spans="1:1" x14ac:dyDescent="0.2">
      <c r="A242" s="170">
        <v>239</v>
      </c>
    </row>
    <row r="243" spans="1:1" x14ac:dyDescent="0.2">
      <c r="A243" s="170">
        <v>240</v>
      </c>
    </row>
    <row r="244" spans="1:1" x14ac:dyDescent="0.2">
      <c r="A244" s="170">
        <v>241</v>
      </c>
    </row>
    <row r="245" spans="1:1" x14ac:dyDescent="0.2">
      <c r="A245" s="170">
        <v>242</v>
      </c>
    </row>
    <row r="246" spans="1:1" x14ac:dyDescent="0.2">
      <c r="A246" s="170">
        <v>243</v>
      </c>
    </row>
    <row r="247" spans="1:1" x14ac:dyDescent="0.2">
      <c r="A247" s="170">
        <v>244</v>
      </c>
    </row>
    <row r="248" spans="1:1" x14ac:dyDescent="0.2">
      <c r="A248" s="170">
        <v>245</v>
      </c>
    </row>
    <row r="249" spans="1:1" x14ac:dyDescent="0.2">
      <c r="A249" s="170">
        <v>246</v>
      </c>
    </row>
    <row r="250" spans="1:1" x14ac:dyDescent="0.2">
      <c r="A250" s="170">
        <v>247</v>
      </c>
    </row>
    <row r="251" spans="1:1" x14ac:dyDescent="0.2">
      <c r="A251" s="170">
        <v>248</v>
      </c>
    </row>
    <row r="252" spans="1:1" x14ac:dyDescent="0.2">
      <c r="A252" s="170">
        <v>249</v>
      </c>
    </row>
    <row r="253" spans="1:1" x14ac:dyDescent="0.2">
      <c r="A253" s="170">
        <v>250</v>
      </c>
    </row>
    <row r="254" spans="1:1" x14ac:dyDescent="0.2">
      <c r="A254" s="170">
        <v>251</v>
      </c>
    </row>
    <row r="255" spans="1:1" x14ac:dyDescent="0.2">
      <c r="A255" s="170">
        <v>252</v>
      </c>
    </row>
    <row r="256" spans="1:1" x14ac:dyDescent="0.2">
      <c r="A256" s="170">
        <v>253</v>
      </c>
    </row>
    <row r="257" spans="1:1" x14ac:dyDescent="0.2">
      <c r="A257" s="170">
        <v>254</v>
      </c>
    </row>
    <row r="258" spans="1:1" x14ac:dyDescent="0.2">
      <c r="A258" s="170">
        <v>255</v>
      </c>
    </row>
    <row r="259" spans="1:1" x14ac:dyDescent="0.2">
      <c r="A259" s="170">
        <v>256</v>
      </c>
    </row>
    <row r="260" spans="1:1" x14ac:dyDescent="0.2">
      <c r="A260" s="170">
        <v>257</v>
      </c>
    </row>
    <row r="261" spans="1:1" x14ac:dyDescent="0.2">
      <c r="A261" s="170">
        <v>258</v>
      </c>
    </row>
    <row r="262" spans="1:1" x14ac:dyDescent="0.2">
      <c r="A262" s="170">
        <v>259</v>
      </c>
    </row>
    <row r="263" spans="1:1" x14ac:dyDescent="0.2">
      <c r="A263" s="170">
        <v>260</v>
      </c>
    </row>
    <row r="264" spans="1:1" x14ac:dyDescent="0.2">
      <c r="A264" s="170">
        <v>261</v>
      </c>
    </row>
    <row r="265" spans="1:1" x14ac:dyDescent="0.2">
      <c r="A265" s="170">
        <v>262</v>
      </c>
    </row>
    <row r="266" spans="1:1" x14ac:dyDescent="0.2">
      <c r="A266" s="170">
        <v>263</v>
      </c>
    </row>
    <row r="267" spans="1:1" x14ac:dyDescent="0.2">
      <c r="A267" s="170">
        <v>264</v>
      </c>
    </row>
    <row r="268" spans="1:1" x14ac:dyDescent="0.2">
      <c r="A268" s="170">
        <v>265</v>
      </c>
    </row>
    <row r="269" spans="1:1" x14ac:dyDescent="0.2">
      <c r="A269" s="170">
        <v>266</v>
      </c>
    </row>
    <row r="270" spans="1:1" x14ac:dyDescent="0.2">
      <c r="A270" s="170">
        <v>267</v>
      </c>
    </row>
    <row r="271" spans="1:1" x14ac:dyDescent="0.2">
      <c r="A271" s="170">
        <v>268</v>
      </c>
    </row>
    <row r="272" spans="1:1" x14ac:dyDescent="0.2">
      <c r="A272" s="170">
        <v>269</v>
      </c>
    </row>
    <row r="273" spans="1:1" x14ac:dyDescent="0.2">
      <c r="A273" s="170">
        <v>270</v>
      </c>
    </row>
    <row r="274" spans="1:1" x14ac:dyDescent="0.2">
      <c r="A274" s="170">
        <v>271</v>
      </c>
    </row>
    <row r="275" spans="1:1" x14ac:dyDescent="0.2">
      <c r="A275" s="170">
        <v>272</v>
      </c>
    </row>
    <row r="276" spans="1:1" x14ac:dyDescent="0.2">
      <c r="A276" s="170">
        <v>273</v>
      </c>
    </row>
    <row r="277" spans="1:1" x14ac:dyDescent="0.2">
      <c r="A277" s="170">
        <v>274</v>
      </c>
    </row>
    <row r="278" spans="1:1" x14ac:dyDescent="0.2">
      <c r="A278" s="170">
        <v>275</v>
      </c>
    </row>
    <row r="279" spans="1:1" x14ac:dyDescent="0.2">
      <c r="A279" s="170">
        <v>276</v>
      </c>
    </row>
    <row r="280" spans="1:1" x14ac:dyDescent="0.2">
      <c r="A280" s="170">
        <v>277</v>
      </c>
    </row>
    <row r="281" spans="1:1" x14ac:dyDescent="0.2">
      <c r="A281" s="170">
        <v>278</v>
      </c>
    </row>
    <row r="282" spans="1:1" x14ac:dyDescent="0.2">
      <c r="A282" s="170">
        <v>279</v>
      </c>
    </row>
    <row r="283" spans="1:1" x14ac:dyDescent="0.2">
      <c r="A283" s="170">
        <v>280</v>
      </c>
    </row>
    <row r="284" spans="1:1" x14ac:dyDescent="0.2">
      <c r="A284" s="170">
        <v>281</v>
      </c>
    </row>
    <row r="285" spans="1:1" x14ac:dyDescent="0.2">
      <c r="A285" s="170">
        <v>282</v>
      </c>
    </row>
    <row r="286" spans="1:1" x14ac:dyDescent="0.2">
      <c r="A286" s="170">
        <v>283</v>
      </c>
    </row>
    <row r="287" spans="1:1" x14ac:dyDescent="0.2">
      <c r="A287" s="170">
        <v>284</v>
      </c>
    </row>
    <row r="288" spans="1:1" x14ac:dyDescent="0.2">
      <c r="A288" s="170">
        <v>285</v>
      </c>
    </row>
    <row r="289" spans="1:1" x14ac:dyDescent="0.2">
      <c r="A289" s="170">
        <v>286</v>
      </c>
    </row>
    <row r="290" spans="1:1" x14ac:dyDescent="0.2">
      <c r="A290" s="170">
        <v>287</v>
      </c>
    </row>
    <row r="291" spans="1:1" x14ac:dyDescent="0.2">
      <c r="A291" s="170">
        <v>288</v>
      </c>
    </row>
    <row r="292" spans="1:1" x14ac:dyDescent="0.2">
      <c r="A292" s="170">
        <v>289</v>
      </c>
    </row>
    <row r="293" spans="1:1" x14ac:dyDescent="0.2">
      <c r="A293" s="170">
        <v>290</v>
      </c>
    </row>
    <row r="294" spans="1:1" x14ac:dyDescent="0.2">
      <c r="A294" s="170">
        <v>291</v>
      </c>
    </row>
    <row r="295" spans="1:1" x14ac:dyDescent="0.2">
      <c r="A295" s="170">
        <v>292</v>
      </c>
    </row>
    <row r="296" spans="1:1" x14ac:dyDescent="0.2">
      <c r="A296" s="170">
        <v>293</v>
      </c>
    </row>
    <row r="297" spans="1:1" x14ac:dyDescent="0.2">
      <c r="A297" s="170">
        <v>294</v>
      </c>
    </row>
    <row r="298" spans="1:1" x14ac:dyDescent="0.2">
      <c r="A298" s="170">
        <v>295</v>
      </c>
    </row>
    <row r="299" spans="1:1" x14ac:dyDescent="0.2">
      <c r="A299" s="170">
        <v>296</v>
      </c>
    </row>
    <row r="300" spans="1:1" x14ac:dyDescent="0.2">
      <c r="A300" s="170">
        <v>297</v>
      </c>
    </row>
    <row r="301" spans="1:1" x14ac:dyDescent="0.2">
      <c r="A301" s="170">
        <v>298</v>
      </c>
    </row>
    <row r="302" spans="1:1" x14ac:dyDescent="0.2">
      <c r="A302" s="170">
        <v>299</v>
      </c>
    </row>
    <row r="303" spans="1:1" x14ac:dyDescent="0.2">
      <c r="A303" s="170">
        <v>300</v>
      </c>
    </row>
    <row r="304" spans="1:1" x14ac:dyDescent="0.2">
      <c r="A304" s="170">
        <v>301</v>
      </c>
    </row>
    <row r="305" spans="1:1" x14ac:dyDescent="0.2">
      <c r="A305" s="170">
        <v>302</v>
      </c>
    </row>
    <row r="306" spans="1:1" x14ac:dyDescent="0.2">
      <c r="A306" s="170">
        <v>303</v>
      </c>
    </row>
    <row r="307" spans="1:1" x14ac:dyDescent="0.2">
      <c r="A307" s="170">
        <v>304</v>
      </c>
    </row>
    <row r="308" spans="1:1" x14ac:dyDescent="0.2">
      <c r="A308" s="170">
        <v>305</v>
      </c>
    </row>
    <row r="309" spans="1:1" x14ac:dyDescent="0.2">
      <c r="A309" s="170">
        <v>306</v>
      </c>
    </row>
    <row r="310" spans="1:1" x14ac:dyDescent="0.2">
      <c r="A310" s="170">
        <v>307</v>
      </c>
    </row>
    <row r="311" spans="1:1" x14ac:dyDescent="0.2">
      <c r="A311" s="170">
        <v>308</v>
      </c>
    </row>
    <row r="312" spans="1:1" x14ac:dyDescent="0.2">
      <c r="A312" s="170">
        <v>309</v>
      </c>
    </row>
    <row r="313" spans="1:1" x14ac:dyDescent="0.2">
      <c r="A313" s="170">
        <v>310</v>
      </c>
    </row>
    <row r="314" spans="1:1" x14ac:dyDescent="0.2">
      <c r="A314" s="170">
        <v>311</v>
      </c>
    </row>
    <row r="315" spans="1:1" x14ac:dyDescent="0.2">
      <c r="A315" s="170">
        <v>312</v>
      </c>
    </row>
    <row r="316" spans="1:1" x14ac:dyDescent="0.2">
      <c r="A316" s="170">
        <v>313</v>
      </c>
    </row>
    <row r="317" spans="1:1" x14ac:dyDescent="0.2">
      <c r="A317" s="170">
        <v>314</v>
      </c>
    </row>
    <row r="318" spans="1:1" x14ac:dyDescent="0.2">
      <c r="A318" s="170">
        <v>315</v>
      </c>
    </row>
    <row r="319" spans="1:1" x14ac:dyDescent="0.2">
      <c r="A319" s="170">
        <v>316</v>
      </c>
    </row>
    <row r="320" spans="1:1" x14ac:dyDescent="0.2">
      <c r="A320" s="170">
        <v>317</v>
      </c>
    </row>
    <row r="321" spans="1:1" x14ac:dyDescent="0.2">
      <c r="A321" s="170">
        <v>318</v>
      </c>
    </row>
    <row r="322" spans="1:1" x14ac:dyDescent="0.2">
      <c r="A322" s="170">
        <v>319</v>
      </c>
    </row>
    <row r="323" spans="1:1" x14ac:dyDescent="0.2">
      <c r="A323" s="170">
        <v>320</v>
      </c>
    </row>
    <row r="324" spans="1:1" x14ac:dyDescent="0.2">
      <c r="A324" s="170">
        <v>321</v>
      </c>
    </row>
    <row r="325" spans="1:1" x14ac:dyDescent="0.2">
      <c r="A325" s="170">
        <v>322</v>
      </c>
    </row>
    <row r="326" spans="1:1" x14ac:dyDescent="0.2">
      <c r="A326" s="170">
        <v>323</v>
      </c>
    </row>
    <row r="327" spans="1:1" x14ac:dyDescent="0.2">
      <c r="A327" s="170">
        <v>324</v>
      </c>
    </row>
    <row r="328" spans="1:1" x14ac:dyDescent="0.2">
      <c r="A328" s="170">
        <v>325</v>
      </c>
    </row>
    <row r="329" spans="1:1" x14ac:dyDescent="0.2">
      <c r="A329" s="170">
        <v>326</v>
      </c>
    </row>
    <row r="330" spans="1:1" x14ac:dyDescent="0.2">
      <c r="A330" s="170">
        <v>327</v>
      </c>
    </row>
    <row r="331" spans="1:1" x14ac:dyDescent="0.2">
      <c r="A331" s="170">
        <v>328</v>
      </c>
    </row>
    <row r="332" spans="1:1" x14ac:dyDescent="0.2">
      <c r="A332" s="170">
        <v>329</v>
      </c>
    </row>
    <row r="333" spans="1:1" x14ac:dyDescent="0.2">
      <c r="A333" s="170">
        <v>330</v>
      </c>
    </row>
    <row r="334" spans="1:1" x14ac:dyDescent="0.2">
      <c r="A334" s="170">
        <v>331</v>
      </c>
    </row>
    <row r="335" spans="1:1" x14ac:dyDescent="0.2">
      <c r="A335" s="170">
        <v>332</v>
      </c>
    </row>
    <row r="336" spans="1:1" x14ac:dyDescent="0.2">
      <c r="A336" s="170">
        <v>333</v>
      </c>
    </row>
    <row r="337" spans="1:1" x14ac:dyDescent="0.2">
      <c r="A337" s="170">
        <v>334</v>
      </c>
    </row>
    <row r="338" spans="1:1" x14ac:dyDescent="0.2">
      <c r="A338" s="170">
        <v>335</v>
      </c>
    </row>
    <row r="339" spans="1:1" x14ac:dyDescent="0.2">
      <c r="A339" s="170">
        <v>336</v>
      </c>
    </row>
    <row r="340" spans="1:1" x14ac:dyDescent="0.2">
      <c r="A340" s="170">
        <v>337</v>
      </c>
    </row>
    <row r="341" spans="1:1" x14ac:dyDescent="0.2">
      <c r="A341" s="170">
        <v>338</v>
      </c>
    </row>
    <row r="342" spans="1:1" x14ac:dyDescent="0.2">
      <c r="A342" s="170">
        <v>339</v>
      </c>
    </row>
    <row r="343" spans="1:1" x14ac:dyDescent="0.2">
      <c r="A343" s="170">
        <v>340</v>
      </c>
    </row>
    <row r="344" spans="1:1" x14ac:dyDescent="0.2">
      <c r="A344" s="170">
        <v>341</v>
      </c>
    </row>
    <row r="345" spans="1:1" x14ac:dyDescent="0.2">
      <c r="A345" s="170">
        <v>342</v>
      </c>
    </row>
    <row r="346" spans="1:1" x14ac:dyDescent="0.2">
      <c r="A346" s="170">
        <v>343</v>
      </c>
    </row>
    <row r="347" spans="1:1" x14ac:dyDescent="0.2">
      <c r="A347" s="170">
        <v>344</v>
      </c>
    </row>
    <row r="348" spans="1:1" x14ac:dyDescent="0.2">
      <c r="A348" s="170">
        <v>345</v>
      </c>
    </row>
    <row r="349" spans="1:1" x14ac:dyDescent="0.2">
      <c r="A349" s="170">
        <v>346</v>
      </c>
    </row>
    <row r="350" spans="1:1" x14ac:dyDescent="0.2">
      <c r="A350" s="170">
        <v>347</v>
      </c>
    </row>
    <row r="351" spans="1:1" x14ac:dyDescent="0.2">
      <c r="A351" s="170">
        <v>348</v>
      </c>
    </row>
    <row r="352" spans="1:1" x14ac:dyDescent="0.2">
      <c r="A352" s="170">
        <v>349</v>
      </c>
    </row>
    <row r="353" spans="1:1" x14ac:dyDescent="0.2">
      <c r="A353" s="170">
        <v>350</v>
      </c>
    </row>
    <row r="354" spans="1:1" x14ac:dyDescent="0.2">
      <c r="A354" s="170">
        <v>351</v>
      </c>
    </row>
    <row r="355" spans="1:1" x14ac:dyDescent="0.2">
      <c r="A355" s="170">
        <v>352</v>
      </c>
    </row>
    <row r="356" spans="1:1" x14ac:dyDescent="0.2">
      <c r="A356" s="170">
        <v>353</v>
      </c>
    </row>
    <row r="357" spans="1:1" x14ac:dyDescent="0.2">
      <c r="A357" s="170">
        <v>354</v>
      </c>
    </row>
    <row r="358" spans="1:1" x14ac:dyDescent="0.2">
      <c r="A358" s="170">
        <v>355</v>
      </c>
    </row>
    <row r="359" spans="1:1" x14ac:dyDescent="0.2">
      <c r="A359" s="170">
        <v>356</v>
      </c>
    </row>
    <row r="360" spans="1:1" x14ac:dyDescent="0.2">
      <c r="A360" s="170">
        <v>357</v>
      </c>
    </row>
    <row r="361" spans="1:1" x14ac:dyDescent="0.2">
      <c r="A361" s="170">
        <v>358</v>
      </c>
    </row>
    <row r="362" spans="1:1" x14ac:dyDescent="0.2">
      <c r="A362" s="170">
        <v>359</v>
      </c>
    </row>
    <row r="363" spans="1:1" x14ac:dyDescent="0.2">
      <c r="A363" s="170">
        <v>360</v>
      </c>
    </row>
    <row r="364" spans="1:1" x14ac:dyDescent="0.2">
      <c r="A364" s="170">
        <v>361</v>
      </c>
    </row>
    <row r="365" spans="1:1" x14ac:dyDescent="0.2">
      <c r="A365" s="170">
        <v>362</v>
      </c>
    </row>
    <row r="366" spans="1:1" x14ac:dyDescent="0.2">
      <c r="A366" s="170">
        <v>363</v>
      </c>
    </row>
    <row r="367" spans="1:1" x14ac:dyDescent="0.2">
      <c r="A367" s="170">
        <v>364</v>
      </c>
    </row>
    <row r="368" spans="1:1" x14ac:dyDescent="0.2">
      <c r="A368" s="170">
        <v>365</v>
      </c>
    </row>
    <row r="369" spans="1:1" x14ac:dyDescent="0.2">
      <c r="A369" s="170">
        <v>366</v>
      </c>
    </row>
    <row r="370" spans="1:1" x14ac:dyDescent="0.2">
      <c r="A370" s="170">
        <v>367</v>
      </c>
    </row>
    <row r="371" spans="1:1" x14ac:dyDescent="0.2">
      <c r="A371" s="170">
        <v>368</v>
      </c>
    </row>
    <row r="372" spans="1:1" x14ac:dyDescent="0.2">
      <c r="A372" s="170">
        <v>369</v>
      </c>
    </row>
    <row r="373" spans="1:1" x14ac:dyDescent="0.2">
      <c r="A373" s="170">
        <v>370</v>
      </c>
    </row>
    <row r="374" spans="1:1" x14ac:dyDescent="0.2">
      <c r="A374" s="170">
        <v>371</v>
      </c>
    </row>
    <row r="375" spans="1:1" x14ac:dyDescent="0.2">
      <c r="A375" s="170">
        <v>372</v>
      </c>
    </row>
    <row r="376" spans="1:1" x14ac:dyDescent="0.2">
      <c r="A376" s="170">
        <v>373</v>
      </c>
    </row>
    <row r="377" spans="1:1" x14ac:dyDescent="0.2">
      <c r="A377" s="170">
        <v>374</v>
      </c>
    </row>
    <row r="378" spans="1:1" x14ac:dyDescent="0.2">
      <c r="A378" s="170">
        <v>375</v>
      </c>
    </row>
    <row r="379" spans="1:1" x14ac:dyDescent="0.2">
      <c r="A379" s="170">
        <v>376</v>
      </c>
    </row>
    <row r="380" spans="1:1" x14ac:dyDescent="0.2">
      <c r="A380" s="170">
        <v>377</v>
      </c>
    </row>
    <row r="381" spans="1:1" x14ac:dyDescent="0.2">
      <c r="A381" s="170">
        <v>378</v>
      </c>
    </row>
    <row r="382" spans="1:1" x14ac:dyDescent="0.2">
      <c r="A382" s="170">
        <v>379</v>
      </c>
    </row>
    <row r="383" spans="1:1" x14ac:dyDescent="0.2">
      <c r="A383" s="170">
        <v>380</v>
      </c>
    </row>
    <row r="384" spans="1:1" x14ac:dyDescent="0.2">
      <c r="A384" s="170">
        <v>381</v>
      </c>
    </row>
    <row r="385" spans="1:1" x14ac:dyDescent="0.2">
      <c r="A385" s="170">
        <v>382</v>
      </c>
    </row>
    <row r="386" spans="1:1" x14ac:dyDescent="0.2">
      <c r="A386" s="170">
        <v>383</v>
      </c>
    </row>
    <row r="387" spans="1:1" x14ac:dyDescent="0.2">
      <c r="A387" s="170">
        <v>384</v>
      </c>
    </row>
    <row r="388" spans="1:1" x14ac:dyDescent="0.2">
      <c r="A388" s="170">
        <v>385</v>
      </c>
    </row>
    <row r="389" spans="1:1" x14ac:dyDescent="0.2">
      <c r="A389" s="170">
        <v>386</v>
      </c>
    </row>
    <row r="390" spans="1:1" x14ac:dyDescent="0.2">
      <c r="A390" s="170">
        <v>387</v>
      </c>
    </row>
    <row r="391" spans="1:1" x14ac:dyDescent="0.2">
      <c r="A391" s="170">
        <v>388</v>
      </c>
    </row>
    <row r="392" spans="1:1" x14ac:dyDescent="0.2">
      <c r="A392" s="170">
        <v>389</v>
      </c>
    </row>
    <row r="393" spans="1:1" x14ac:dyDescent="0.2">
      <c r="A393" s="170">
        <v>390</v>
      </c>
    </row>
    <row r="394" spans="1:1" x14ac:dyDescent="0.2">
      <c r="A394" s="170">
        <v>391</v>
      </c>
    </row>
    <row r="395" spans="1:1" x14ac:dyDescent="0.2">
      <c r="A395" s="170">
        <v>392</v>
      </c>
    </row>
    <row r="396" spans="1:1" x14ac:dyDescent="0.2">
      <c r="A396" s="170">
        <v>393</v>
      </c>
    </row>
    <row r="397" spans="1:1" x14ac:dyDescent="0.2">
      <c r="A397" s="170">
        <v>394</v>
      </c>
    </row>
    <row r="398" spans="1:1" x14ac:dyDescent="0.2">
      <c r="A398" s="170">
        <v>395</v>
      </c>
    </row>
    <row r="399" spans="1:1" x14ac:dyDescent="0.2">
      <c r="A399" s="170">
        <v>396</v>
      </c>
    </row>
    <row r="400" spans="1:1" x14ac:dyDescent="0.2">
      <c r="A400" s="170">
        <v>397</v>
      </c>
    </row>
    <row r="401" spans="1:1" x14ac:dyDescent="0.2">
      <c r="A401" s="170">
        <v>398</v>
      </c>
    </row>
    <row r="402" spans="1:1" x14ac:dyDescent="0.2">
      <c r="A402" s="170">
        <v>399</v>
      </c>
    </row>
    <row r="403" spans="1:1" x14ac:dyDescent="0.2">
      <c r="A403" s="170">
        <v>400</v>
      </c>
    </row>
    <row r="404" spans="1:1" x14ac:dyDescent="0.2">
      <c r="A404" s="170">
        <v>401</v>
      </c>
    </row>
    <row r="405" spans="1:1" x14ac:dyDescent="0.2">
      <c r="A405" s="170">
        <v>402</v>
      </c>
    </row>
    <row r="406" spans="1:1" x14ac:dyDescent="0.2">
      <c r="A406" s="170">
        <v>403</v>
      </c>
    </row>
    <row r="407" spans="1:1" x14ac:dyDescent="0.2">
      <c r="A407" s="170">
        <v>404</v>
      </c>
    </row>
    <row r="408" spans="1:1" x14ac:dyDescent="0.2">
      <c r="A408" s="170">
        <v>405</v>
      </c>
    </row>
    <row r="409" spans="1:1" x14ac:dyDescent="0.2">
      <c r="A409" s="170">
        <v>406</v>
      </c>
    </row>
    <row r="410" spans="1:1" x14ac:dyDescent="0.2">
      <c r="A410" s="170">
        <v>407</v>
      </c>
    </row>
    <row r="411" spans="1:1" x14ac:dyDescent="0.2">
      <c r="A411" s="170">
        <v>408</v>
      </c>
    </row>
    <row r="412" spans="1:1" x14ac:dyDescent="0.2">
      <c r="A412" s="170">
        <v>409</v>
      </c>
    </row>
    <row r="413" spans="1:1" x14ac:dyDescent="0.2">
      <c r="A413" s="170">
        <v>410</v>
      </c>
    </row>
    <row r="414" spans="1:1" x14ac:dyDescent="0.2">
      <c r="A414" s="170">
        <v>411</v>
      </c>
    </row>
    <row r="415" spans="1:1" x14ac:dyDescent="0.2">
      <c r="A415" s="170">
        <v>412</v>
      </c>
    </row>
    <row r="416" spans="1:1" x14ac:dyDescent="0.2">
      <c r="A416" s="170">
        <v>413</v>
      </c>
    </row>
    <row r="417" spans="1:1" x14ac:dyDescent="0.2">
      <c r="A417" s="170">
        <v>414</v>
      </c>
    </row>
    <row r="418" spans="1:1" x14ac:dyDescent="0.2">
      <c r="A418" s="170">
        <v>415</v>
      </c>
    </row>
    <row r="419" spans="1:1" x14ac:dyDescent="0.2">
      <c r="A419" s="170">
        <v>416</v>
      </c>
    </row>
    <row r="420" spans="1:1" x14ac:dyDescent="0.2">
      <c r="A420" s="170">
        <v>417</v>
      </c>
    </row>
    <row r="421" spans="1:1" x14ac:dyDescent="0.2">
      <c r="A421" s="170">
        <v>418</v>
      </c>
    </row>
    <row r="422" spans="1:1" x14ac:dyDescent="0.2">
      <c r="A422" s="170">
        <v>419</v>
      </c>
    </row>
    <row r="423" spans="1:1" x14ac:dyDescent="0.2">
      <c r="A423" s="170">
        <v>420</v>
      </c>
    </row>
    <row r="424" spans="1:1" x14ac:dyDescent="0.2">
      <c r="A424" s="170">
        <v>421</v>
      </c>
    </row>
    <row r="425" spans="1:1" x14ac:dyDescent="0.2">
      <c r="A425" s="170">
        <v>422</v>
      </c>
    </row>
    <row r="426" spans="1:1" x14ac:dyDescent="0.2">
      <c r="A426" s="170">
        <v>423</v>
      </c>
    </row>
    <row r="427" spans="1:1" x14ac:dyDescent="0.2">
      <c r="A427" s="170">
        <v>424</v>
      </c>
    </row>
    <row r="428" spans="1:1" x14ac:dyDescent="0.2">
      <c r="A428" s="170">
        <v>425</v>
      </c>
    </row>
    <row r="429" spans="1:1" x14ac:dyDescent="0.2">
      <c r="A429" s="170">
        <v>426</v>
      </c>
    </row>
    <row r="430" spans="1:1" x14ac:dyDescent="0.2">
      <c r="A430" s="170">
        <v>427</v>
      </c>
    </row>
    <row r="431" spans="1:1" x14ac:dyDescent="0.2">
      <c r="A431" s="170">
        <v>428</v>
      </c>
    </row>
    <row r="432" spans="1:1" x14ac:dyDescent="0.2">
      <c r="A432" s="170">
        <v>429</v>
      </c>
    </row>
    <row r="433" spans="1:1" x14ac:dyDescent="0.2">
      <c r="A433" s="170">
        <v>430</v>
      </c>
    </row>
    <row r="434" spans="1:1" x14ac:dyDescent="0.2">
      <c r="A434" s="170">
        <v>431</v>
      </c>
    </row>
    <row r="435" spans="1:1" x14ac:dyDescent="0.2">
      <c r="A435" s="170">
        <v>432</v>
      </c>
    </row>
    <row r="436" spans="1:1" x14ac:dyDescent="0.2">
      <c r="A436" s="170">
        <v>433</v>
      </c>
    </row>
    <row r="437" spans="1:1" x14ac:dyDescent="0.2">
      <c r="A437" s="170">
        <v>434</v>
      </c>
    </row>
    <row r="438" spans="1:1" x14ac:dyDescent="0.2">
      <c r="A438" s="170">
        <v>435</v>
      </c>
    </row>
    <row r="439" spans="1:1" x14ac:dyDescent="0.2">
      <c r="A439" s="170">
        <v>436</v>
      </c>
    </row>
    <row r="440" spans="1:1" x14ac:dyDescent="0.2">
      <c r="A440" s="170">
        <v>437</v>
      </c>
    </row>
    <row r="441" spans="1:1" x14ac:dyDescent="0.2">
      <c r="A441" s="170">
        <v>438</v>
      </c>
    </row>
    <row r="442" spans="1:1" x14ac:dyDescent="0.2">
      <c r="A442" s="170">
        <v>439</v>
      </c>
    </row>
    <row r="443" spans="1:1" x14ac:dyDescent="0.2">
      <c r="A443" s="170">
        <v>440</v>
      </c>
    </row>
    <row r="444" spans="1:1" x14ac:dyDescent="0.2">
      <c r="A444" s="170">
        <v>441</v>
      </c>
    </row>
    <row r="445" spans="1:1" x14ac:dyDescent="0.2">
      <c r="A445" s="170">
        <v>442</v>
      </c>
    </row>
    <row r="446" spans="1:1" x14ac:dyDescent="0.2">
      <c r="A446" s="170">
        <v>443</v>
      </c>
    </row>
    <row r="447" spans="1:1" x14ac:dyDescent="0.2">
      <c r="A447" s="170">
        <v>444</v>
      </c>
    </row>
    <row r="448" spans="1:1" x14ac:dyDescent="0.2">
      <c r="A448" s="170">
        <v>445</v>
      </c>
    </row>
    <row r="449" spans="1:1" x14ac:dyDescent="0.2">
      <c r="A449" s="170">
        <v>446</v>
      </c>
    </row>
    <row r="450" spans="1:1" x14ac:dyDescent="0.2">
      <c r="A450" s="170">
        <v>447</v>
      </c>
    </row>
    <row r="451" spans="1:1" x14ac:dyDescent="0.2">
      <c r="A451" s="170">
        <v>448</v>
      </c>
    </row>
    <row r="452" spans="1:1" x14ac:dyDescent="0.2">
      <c r="A452" s="170">
        <v>449</v>
      </c>
    </row>
    <row r="453" spans="1:1" x14ac:dyDescent="0.2">
      <c r="A453" s="170">
        <v>450</v>
      </c>
    </row>
    <row r="454" spans="1:1" x14ac:dyDescent="0.2">
      <c r="A454" s="170">
        <v>451</v>
      </c>
    </row>
    <row r="455" spans="1:1" x14ac:dyDescent="0.2">
      <c r="A455" s="170">
        <v>452</v>
      </c>
    </row>
    <row r="456" spans="1:1" x14ac:dyDescent="0.2">
      <c r="A456" s="170">
        <v>453</v>
      </c>
    </row>
    <row r="457" spans="1:1" x14ac:dyDescent="0.2">
      <c r="A457" s="170">
        <v>454</v>
      </c>
    </row>
    <row r="458" spans="1:1" x14ac:dyDescent="0.2">
      <c r="A458" s="170">
        <v>455</v>
      </c>
    </row>
    <row r="459" spans="1:1" x14ac:dyDescent="0.2">
      <c r="A459" s="170">
        <v>456</v>
      </c>
    </row>
    <row r="460" spans="1:1" x14ac:dyDescent="0.2">
      <c r="A460" s="170">
        <v>457</v>
      </c>
    </row>
    <row r="461" spans="1:1" x14ac:dyDescent="0.2">
      <c r="A461" s="170">
        <v>458</v>
      </c>
    </row>
    <row r="462" spans="1:1" x14ac:dyDescent="0.2">
      <c r="A462" s="170">
        <v>459</v>
      </c>
    </row>
    <row r="463" spans="1:1" x14ac:dyDescent="0.2">
      <c r="A463" s="170">
        <v>460</v>
      </c>
    </row>
    <row r="464" spans="1:1" x14ac:dyDescent="0.2">
      <c r="A464" s="170">
        <v>461</v>
      </c>
    </row>
    <row r="465" spans="1:1" x14ac:dyDescent="0.2">
      <c r="A465" s="170">
        <v>462</v>
      </c>
    </row>
    <row r="466" spans="1:1" x14ac:dyDescent="0.2">
      <c r="A466" s="170">
        <v>463</v>
      </c>
    </row>
    <row r="467" spans="1:1" x14ac:dyDescent="0.2">
      <c r="A467" s="170">
        <v>464</v>
      </c>
    </row>
    <row r="468" spans="1:1" x14ac:dyDescent="0.2">
      <c r="A468" s="170">
        <v>465</v>
      </c>
    </row>
    <row r="469" spans="1:1" x14ac:dyDescent="0.2">
      <c r="A469" s="170">
        <v>466</v>
      </c>
    </row>
    <row r="470" spans="1:1" x14ac:dyDescent="0.2">
      <c r="A470" s="170">
        <v>467</v>
      </c>
    </row>
    <row r="471" spans="1:1" x14ac:dyDescent="0.2">
      <c r="A471" s="170">
        <v>468</v>
      </c>
    </row>
    <row r="472" spans="1:1" x14ac:dyDescent="0.2">
      <c r="A472" s="170">
        <v>469</v>
      </c>
    </row>
    <row r="473" spans="1:1" x14ac:dyDescent="0.2">
      <c r="A473" s="170">
        <v>470</v>
      </c>
    </row>
    <row r="474" spans="1:1" x14ac:dyDescent="0.2">
      <c r="A474" s="170">
        <v>471</v>
      </c>
    </row>
    <row r="475" spans="1:1" x14ac:dyDescent="0.2">
      <c r="A475" s="170">
        <v>472</v>
      </c>
    </row>
    <row r="476" spans="1:1" x14ac:dyDescent="0.2">
      <c r="A476" s="170">
        <v>473</v>
      </c>
    </row>
    <row r="477" spans="1:1" x14ac:dyDescent="0.2">
      <c r="A477" s="170">
        <v>474</v>
      </c>
    </row>
    <row r="478" spans="1:1" x14ac:dyDescent="0.2">
      <c r="A478" s="170">
        <v>475</v>
      </c>
    </row>
    <row r="479" spans="1:1" x14ac:dyDescent="0.2">
      <c r="A479" s="170">
        <v>476</v>
      </c>
    </row>
    <row r="480" spans="1:1" x14ac:dyDescent="0.2">
      <c r="A480" s="170">
        <v>477</v>
      </c>
    </row>
    <row r="481" spans="1:1" x14ac:dyDescent="0.2">
      <c r="A481" s="170">
        <v>478</v>
      </c>
    </row>
    <row r="482" spans="1:1" x14ac:dyDescent="0.2">
      <c r="A482" s="170">
        <v>479</v>
      </c>
    </row>
    <row r="483" spans="1:1" x14ac:dyDescent="0.2">
      <c r="A483" s="170">
        <v>480</v>
      </c>
    </row>
    <row r="484" spans="1:1" x14ac:dyDescent="0.2">
      <c r="A484" s="170">
        <v>481</v>
      </c>
    </row>
    <row r="485" spans="1:1" x14ac:dyDescent="0.2">
      <c r="A485" s="170">
        <v>482</v>
      </c>
    </row>
    <row r="486" spans="1:1" x14ac:dyDescent="0.2">
      <c r="A486" s="170">
        <v>483</v>
      </c>
    </row>
    <row r="487" spans="1:1" x14ac:dyDescent="0.2">
      <c r="A487" s="170">
        <v>484</v>
      </c>
    </row>
    <row r="488" spans="1:1" x14ac:dyDescent="0.2">
      <c r="A488" s="170">
        <v>485</v>
      </c>
    </row>
    <row r="489" spans="1:1" x14ac:dyDescent="0.2">
      <c r="A489" s="170">
        <v>486</v>
      </c>
    </row>
    <row r="490" spans="1:1" x14ac:dyDescent="0.2">
      <c r="A490" s="170">
        <v>487</v>
      </c>
    </row>
    <row r="491" spans="1:1" x14ac:dyDescent="0.2">
      <c r="A491" s="170">
        <v>488</v>
      </c>
    </row>
    <row r="492" spans="1:1" x14ac:dyDescent="0.2">
      <c r="A492" s="170">
        <v>489</v>
      </c>
    </row>
    <row r="493" spans="1:1" x14ac:dyDescent="0.2">
      <c r="A493" s="170">
        <v>490</v>
      </c>
    </row>
    <row r="494" spans="1:1" x14ac:dyDescent="0.2">
      <c r="A494" s="170">
        <v>491</v>
      </c>
    </row>
    <row r="495" spans="1:1" x14ac:dyDescent="0.2">
      <c r="A495" s="170">
        <v>492</v>
      </c>
    </row>
    <row r="496" spans="1:1" x14ac:dyDescent="0.2">
      <c r="A496" s="170">
        <v>493</v>
      </c>
    </row>
    <row r="497" spans="1:1" x14ac:dyDescent="0.2">
      <c r="A497" s="170">
        <v>494</v>
      </c>
    </row>
    <row r="498" spans="1:1" x14ac:dyDescent="0.2">
      <c r="A498" s="170">
        <v>495</v>
      </c>
    </row>
    <row r="499" spans="1:1" x14ac:dyDescent="0.2">
      <c r="A499" s="170">
        <v>496</v>
      </c>
    </row>
    <row r="500" spans="1:1" x14ac:dyDescent="0.2">
      <c r="A500" s="170">
        <v>497</v>
      </c>
    </row>
    <row r="501" spans="1:1" x14ac:dyDescent="0.2">
      <c r="A501" s="170">
        <v>498</v>
      </c>
    </row>
    <row r="502" spans="1:1" x14ac:dyDescent="0.2">
      <c r="A502" s="170">
        <v>499</v>
      </c>
    </row>
    <row r="503" spans="1:1" x14ac:dyDescent="0.2">
      <c r="A503" s="170">
        <v>500</v>
      </c>
    </row>
    <row r="504" spans="1:1" x14ac:dyDescent="0.2">
      <c r="A504" s="170">
        <v>501</v>
      </c>
    </row>
    <row r="505" spans="1:1" x14ac:dyDescent="0.2">
      <c r="A505" s="170">
        <v>502</v>
      </c>
    </row>
    <row r="506" spans="1:1" x14ac:dyDescent="0.2">
      <c r="A506" s="170">
        <v>503</v>
      </c>
    </row>
    <row r="507" spans="1:1" x14ac:dyDescent="0.2">
      <c r="A507" s="170">
        <v>504</v>
      </c>
    </row>
    <row r="508" spans="1:1" x14ac:dyDescent="0.2">
      <c r="A508" s="170">
        <v>505</v>
      </c>
    </row>
    <row r="509" spans="1:1" x14ac:dyDescent="0.2">
      <c r="A509" s="170">
        <v>506</v>
      </c>
    </row>
    <row r="510" spans="1:1" x14ac:dyDescent="0.2">
      <c r="A510" s="170">
        <v>507</v>
      </c>
    </row>
    <row r="511" spans="1:1" x14ac:dyDescent="0.2">
      <c r="A511" s="170">
        <v>508</v>
      </c>
    </row>
    <row r="512" spans="1:1" x14ac:dyDescent="0.2">
      <c r="A512" s="170">
        <v>509</v>
      </c>
    </row>
    <row r="513" spans="1:1" x14ac:dyDescent="0.2">
      <c r="A513" s="170">
        <v>510</v>
      </c>
    </row>
    <row r="514" spans="1:1" x14ac:dyDescent="0.2">
      <c r="A514" s="170">
        <v>511</v>
      </c>
    </row>
    <row r="515" spans="1:1" x14ac:dyDescent="0.2">
      <c r="A515" s="170">
        <v>512</v>
      </c>
    </row>
    <row r="516" spans="1:1" x14ac:dyDescent="0.2">
      <c r="A516" s="170">
        <v>513</v>
      </c>
    </row>
    <row r="517" spans="1:1" x14ac:dyDescent="0.2">
      <c r="A517" s="170">
        <v>514</v>
      </c>
    </row>
    <row r="518" spans="1:1" x14ac:dyDescent="0.2">
      <c r="A518" s="170">
        <v>515</v>
      </c>
    </row>
    <row r="519" spans="1:1" x14ac:dyDescent="0.2">
      <c r="A519" s="170">
        <v>516</v>
      </c>
    </row>
    <row r="520" spans="1:1" x14ac:dyDescent="0.2">
      <c r="A520" s="170">
        <v>517</v>
      </c>
    </row>
    <row r="521" spans="1:1" x14ac:dyDescent="0.2">
      <c r="A521" s="170">
        <v>518</v>
      </c>
    </row>
    <row r="522" spans="1:1" x14ac:dyDescent="0.2">
      <c r="A522" s="170">
        <v>519</v>
      </c>
    </row>
    <row r="523" spans="1:1" x14ac:dyDescent="0.2">
      <c r="A523" s="170">
        <v>520</v>
      </c>
    </row>
    <row r="524" spans="1:1" x14ac:dyDescent="0.2">
      <c r="A524" s="170">
        <v>521</v>
      </c>
    </row>
    <row r="525" spans="1:1" x14ac:dyDescent="0.2">
      <c r="A525" s="170">
        <v>522</v>
      </c>
    </row>
    <row r="526" spans="1:1" x14ac:dyDescent="0.2">
      <c r="A526" s="170">
        <v>523</v>
      </c>
    </row>
    <row r="527" spans="1:1" x14ac:dyDescent="0.2">
      <c r="A527" s="170">
        <v>524</v>
      </c>
    </row>
    <row r="528" spans="1:1" x14ac:dyDescent="0.2">
      <c r="A528" s="170">
        <v>525</v>
      </c>
    </row>
    <row r="529" spans="1:1" x14ac:dyDescent="0.2">
      <c r="A529" s="170">
        <v>526</v>
      </c>
    </row>
    <row r="530" spans="1:1" x14ac:dyDescent="0.2">
      <c r="A530" s="170">
        <v>527</v>
      </c>
    </row>
    <row r="531" spans="1:1" x14ac:dyDescent="0.2">
      <c r="A531" s="170">
        <v>528</v>
      </c>
    </row>
    <row r="532" spans="1:1" x14ac:dyDescent="0.2">
      <c r="A532" s="170">
        <v>529</v>
      </c>
    </row>
    <row r="533" spans="1:1" x14ac:dyDescent="0.2">
      <c r="A533" s="170">
        <v>530</v>
      </c>
    </row>
    <row r="534" spans="1:1" x14ac:dyDescent="0.2">
      <c r="A534" s="170">
        <v>531</v>
      </c>
    </row>
    <row r="535" spans="1:1" x14ac:dyDescent="0.2">
      <c r="A535" s="170">
        <v>532</v>
      </c>
    </row>
    <row r="536" spans="1:1" x14ac:dyDescent="0.2">
      <c r="A536" s="170">
        <v>533</v>
      </c>
    </row>
    <row r="537" spans="1:1" x14ac:dyDescent="0.2">
      <c r="A537" s="170">
        <v>534</v>
      </c>
    </row>
    <row r="538" spans="1:1" x14ac:dyDescent="0.2">
      <c r="A538" s="170">
        <v>535</v>
      </c>
    </row>
    <row r="539" spans="1:1" x14ac:dyDescent="0.2">
      <c r="A539" s="170">
        <v>536</v>
      </c>
    </row>
    <row r="540" spans="1:1" x14ac:dyDescent="0.2">
      <c r="A540" s="170">
        <v>537</v>
      </c>
    </row>
    <row r="541" spans="1:1" x14ac:dyDescent="0.2">
      <c r="A541" s="170">
        <v>538</v>
      </c>
    </row>
    <row r="542" spans="1:1" x14ac:dyDescent="0.2">
      <c r="A542" s="170">
        <v>539</v>
      </c>
    </row>
    <row r="543" spans="1:1" x14ac:dyDescent="0.2">
      <c r="A543" s="170">
        <v>540</v>
      </c>
    </row>
    <row r="544" spans="1:1" x14ac:dyDescent="0.2">
      <c r="A544" s="170">
        <v>541</v>
      </c>
    </row>
    <row r="545" spans="1:1" x14ac:dyDescent="0.2">
      <c r="A545" s="170">
        <v>542</v>
      </c>
    </row>
    <row r="546" spans="1:1" x14ac:dyDescent="0.2">
      <c r="A546" s="170">
        <v>543</v>
      </c>
    </row>
    <row r="547" spans="1:1" x14ac:dyDescent="0.2">
      <c r="A547" s="170">
        <v>544</v>
      </c>
    </row>
    <row r="548" spans="1:1" x14ac:dyDescent="0.2">
      <c r="A548" s="170">
        <v>545</v>
      </c>
    </row>
    <row r="549" spans="1:1" x14ac:dyDescent="0.2">
      <c r="A549" s="170">
        <v>546</v>
      </c>
    </row>
    <row r="550" spans="1:1" x14ac:dyDescent="0.2">
      <c r="A550" s="170">
        <v>547</v>
      </c>
    </row>
    <row r="551" spans="1:1" x14ac:dyDescent="0.2">
      <c r="A551" s="170">
        <v>548</v>
      </c>
    </row>
    <row r="552" spans="1:1" x14ac:dyDescent="0.2">
      <c r="A552" s="170">
        <v>549</v>
      </c>
    </row>
    <row r="553" spans="1:1" x14ac:dyDescent="0.2">
      <c r="A553" s="170">
        <v>550</v>
      </c>
    </row>
    <row r="554" spans="1:1" x14ac:dyDescent="0.2">
      <c r="A554" s="170">
        <v>551</v>
      </c>
    </row>
    <row r="555" spans="1:1" x14ac:dyDescent="0.2">
      <c r="A555" s="170">
        <v>552</v>
      </c>
    </row>
    <row r="556" spans="1:1" x14ac:dyDescent="0.2">
      <c r="A556" s="170">
        <v>553</v>
      </c>
    </row>
    <row r="557" spans="1:1" x14ac:dyDescent="0.2">
      <c r="A557" s="170">
        <v>554</v>
      </c>
    </row>
    <row r="558" spans="1:1" x14ac:dyDescent="0.2">
      <c r="A558" s="170">
        <v>555</v>
      </c>
    </row>
    <row r="559" spans="1:1" x14ac:dyDescent="0.2">
      <c r="A559" s="170">
        <v>556</v>
      </c>
    </row>
    <row r="560" spans="1:1" x14ac:dyDescent="0.2">
      <c r="A560" s="170">
        <v>557</v>
      </c>
    </row>
    <row r="561" spans="1:1" x14ac:dyDescent="0.2">
      <c r="A561" s="170">
        <v>558</v>
      </c>
    </row>
    <row r="562" spans="1:1" x14ac:dyDescent="0.2">
      <c r="A562" s="170">
        <v>559</v>
      </c>
    </row>
    <row r="563" spans="1:1" x14ac:dyDescent="0.2">
      <c r="A563" s="170">
        <v>560</v>
      </c>
    </row>
    <row r="564" spans="1:1" x14ac:dyDescent="0.2">
      <c r="A564" s="170">
        <v>561</v>
      </c>
    </row>
    <row r="565" spans="1:1" x14ac:dyDescent="0.2">
      <c r="A565" s="170">
        <v>562</v>
      </c>
    </row>
    <row r="566" spans="1:1" x14ac:dyDescent="0.2">
      <c r="A566" s="170">
        <v>563</v>
      </c>
    </row>
    <row r="567" spans="1:1" x14ac:dyDescent="0.2">
      <c r="A567" s="170">
        <v>564</v>
      </c>
    </row>
    <row r="568" spans="1:1" x14ac:dyDescent="0.2">
      <c r="A568" s="170">
        <v>565</v>
      </c>
    </row>
    <row r="569" spans="1:1" x14ac:dyDescent="0.2">
      <c r="A569" s="170">
        <v>566</v>
      </c>
    </row>
    <row r="570" spans="1:1" x14ac:dyDescent="0.2">
      <c r="A570" s="170">
        <v>567</v>
      </c>
    </row>
    <row r="571" spans="1:1" x14ac:dyDescent="0.2">
      <c r="A571" s="170">
        <v>568</v>
      </c>
    </row>
    <row r="572" spans="1:1" x14ac:dyDescent="0.2">
      <c r="A572" s="170">
        <v>569</v>
      </c>
    </row>
    <row r="573" spans="1:1" x14ac:dyDescent="0.2">
      <c r="A573" s="170">
        <v>570</v>
      </c>
    </row>
    <row r="574" spans="1:1" x14ac:dyDescent="0.2">
      <c r="A574" s="170">
        <v>571</v>
      </c>
    </row>
    <row r="575" spans="1:1" x14ac:dyDescent="0.2">
      <c r="A575" s="170">
        <v>572</v>
      </c>
    </row>
    <row r="576" spans="1:1" x14ac:dyDescent="0.2">
      <c r="A576" s="170">
        <v>573</v>
      </c>
    </row>
    <row r="577" spans="1:1" x14ac:dyDescent="0.2">
      <c r="A577" s="170">
        <v>574</v>
      </c>
    </row>
    <row r="578" spans="1:1" x14ac:dyDescent="0.2">
      <c r="A578" s="170">
        <v>575</v>
      </c>
    </row>
    <row r="579" spans="1:1" x14ac:dyDescent="0.2">
      <c r="A579" s="170">
        <v>576</v>
      </c>
    </row>
    <row r="580" spans="1:1" x14ac:dyDescent="0.2">
      <c r="A580" s="170">
        <v>577</v>
      </c>
    </row>
    <row r="581" spans="1:1" x14ac:dyDescent="0.2">
      <c r="A581" s="170">
        <v>578</v>
      </c>
    </row>
    <row r="582" spans="1:1" x14ac:dyDescent="0.2">
      <c r="A582" s="170">
        <v>579</v>
      </c>
    </row>
    <row r="583" spans="1:1" x14ac:dyDescent="0.2">
      <c r="A583" s="170">
        <v>580</v>
      </c>
    </row>
    <row r="584" spans="1:1" x14ac:dyDescent="0.2">
      <c r="A584" s="170">
        <v>581</v>
      </c>
    </row>
    <row r="585" spans="1:1" x14ac:dyDescent="0.2">
      <c r="A585" s="170">
        <v>582</v>
      </c>
    </row>
    <row r="586" spans="1:1" x14ac:dyDescent="0.2">
      <c r="A586" s="170">
        <v>583</v>
      </c>
    </row>
    <row r="587" spans="1:1" x14ac:dyDescent="0.2">
      <c r="A587" s="170">
        <v>584</v>
      </c>
    </row>
    <row r="588" spans="1:1" x14ac:dyDescent="0.2">
      <c r="A588" s="170">
        <v>585</v>
      </c>
    </row>
    <row r="589" spans="1:1" x14ac:dyDescent="0.2">
      <c r="A589" s="170">
        <v>586</v>
      </c>
    </row>
    <row r="590" spans="1:1" x14ac:dyDescent="0.2">
      <c r="A590" s="170">
        <v>587</v>
      </c>
    </row>
    <row r="591" spans="1:1" x14ac:dyDescent="0.2">
      <c r="A591" s="170">
        <v>588</v>
      </c>
    </row>
    <row r="592" spans="1:1" x14ac:dyDescent="0.2">
      <c r="A592" s="170">
        <v>589</v>
      </c>
    </row>
    <row r="593" spans="1:1" x14ac:dyDescent="0.2">
      <c r="A593" s="170">
        <v>590</v>
      </c>
    </row>
    <row r="594" spans="1:1" x14ac:dyDescent="0.2">
      <c r="A594" s="170">
        <v>591</v>
      </c>
    </row>
    <row r="595" spans="1:1" x14ac:dyDescent="0.2">
      <c r="A595" s="170">
        <v>592</v>
      </c>
    </row>
    <row r="596" spans="1:1" x14ac:dyDescent="0.2">
      <c r="A596" s="170">
        <v>593</v>
      </c>
    </row>
    <row r="597" spans="1:1" x14ac:dyDescent="0.2">
      <c r="A597" s="170">
        <v>594</v>
      </c>
    </row>
    <row r="598" spans="1:1" x14ac:dyDescent="0.2">
      <c r="A598" s="170">
        <v>595</v>
      </c>
    </row>
    <row r="599" spans="1:1" x14ac:dyDescent="0.2">
      <c r="A599" s="170">
        <v>596</v>
      </c>
    </row>
    <row r="600" spans="1:1" x14ac:dyDescent="0.2">
      <c r="A600" s="170">
        <v>597</v>
      </c>
    </row>
    <row r="601" spans="1:1" x14ac:dyDescent="0.2">
      <c r="A601" s="170">
        <v>598</v>
      </c>
    </row>
    <row r="602" spans="1:1" x14ac:dyDescent="0.2">
      <c r="A602" s="170">
        <v>599</v>
      </c>
    </row>
    <row r="603" spans="1:1" x14ac:dyDescent="0.2">
      <c r="A603" s="170">
        <v>600</v>
      </c>
    </row>
    <row r="604" spans="1:1" x14ac:dyDescent="0.2">
      <c r="A604" s="170">
        <v>601</v>
      </c>
    </row>
    <row r="605" spans="1:1" x14ac:dyDescent="0.2">
      <c r="A605" s="170">
        <v>602</v>
      </c>
    </row>
    <row r="606" spans="1:1" x14ac:dyDescent="0.2">
      <c r="A606" s="170">
        <v>603</v>
      </c>
    </row>
    <row r="607" spans="1:1" x14ac:dyDescent="0.2">
      <c r="A607" s="170">
        <v>604</v>
      </c>
    </row>
    <row r="608" spans="1:1" x14ac:dyDescent="0.2">
      <c r="A608" s="170">
        <v>605</v>
      </c>
    </row>
    <row r="609" spans="1:1" x14ac:dyDescent="0.2">
      <c r="A609" s="170">
        <v>606</v>
      </c>
    </row>
    <row r="610" spans="1:1" x14ac:dyDescent="0.2">
      <c r="A610" s="170">
        <v>607</v>
      </c>
    </row>
    <row r="611" spans="1:1" x14ac:dyDescent="0.2">
      <c r="A611" s="170">
        <v>608</v>
      </c>
    </row>
    <row r="612" spans="1:1" x14ac:dyDescent="0.2">
      <c r="A612" s="170">
        <v>609</v>
      </c>
    </row>
    <row r="613" spans="1:1" x14ac:dyDescent="0.2">
      <c r="A613" s="170">
        <v>610</v>
      </c>
    </row>
    <row r="614" spans="1:1" x14ac:dyDescent="0.2">
      <c r="A614" s="170">
        <v>611</v>
      </c>
    </row>
    <row r="615" spans="1:1" x14ac:dyDescent="0.2">
      <c r="A615" s="170">
        <v>612</v>
      </c>
    </row>
    <row r="616" spans="1:1" x14ac:dyDescent="0.2">
      <c r="A616" s="170">
        <v>613</v>
      </c>
    </row>
    <row r="617" spans="1:1" x14ac:dyDescent="0.2">
      <c r="A617" s="170">
        <v>614</v>
      </c>
    </row>
    <row r="618" spans="1:1" x14ac:dyDescent="0.2">
      <c r="A618" s="170">
        <v>615</v>
      </c>
    </row>
    <row r="619" spans="1:1" x14ac:dyDescent="0.2">
      <c r="A619" s="170">
        <v>616</v>
      </c>
    </row>
    <row r="620" spans="1:1" x14ac:dyDescent="0.2">
      <c r="A620" s="170">
        <v>617</v>
      </c>
    </row>
    <row r="621" spans="1:1" x14ac:dyDescent="0.2">
      <c r="A621" s="170">
        <v>618</v>
      </c>
    </row>
    <row r="622" spans="1:1" x14ac:dyDescent="0.2">
      <c r="A622" s="170">
        <v>619</v>
      </c>
    </row>
    <row r="623" spans="1:1" x14ac:dyDescent="0.2">
      <c r="A623" s="170">
        <v>620</v>
      </c>
    </row>
    <row r="624" spans="1:1" x14ac:dyDescent="0.2">
      <c r="A624" s="170">
        <v>621</v>
      </c>
    </row>
    <row r="625" spans="1:1" x14ac:dyDescent="0.2">
      <c r="A625" s="170">
        <v>622</v>
      </c>
    </row>
    <row r="626" spans="1:1" x14ac:dyDescent="0.2">
      <c r="A626" s="170">
        <v>623</v>
      </c>
    </row>
    <row r="627" spans="1:1" x14ac:dyDescent="0.2">
      <c r="A627" s="170">
        <v>624</v>
      </c>
    </row>
    <row r="628" spans="1:1" x14ac:dyDescent="0.2">
      <c r="A628" s="170">
        <v>625</v>
      </c>
    </row>
    <row r="629" spans="1:1" x14ac:dyDescent="0.2">
      <c r="A629" s="170">
        <v>626</v>
      </c>
    </row>
    <row r="630" spans="1:1" x14ac:dyDescent="0.2">
      <c r="A630" s="170">
        <v>627</v>
      </c>
    </row>
    <row r="631" spans="1:1" x14ac:dyDescent="0.2">
      <c r="A631" s="170">
        <v>628</v>
      </c>
    </row>
    <row r="632" spans="1:1" x14ac:dyDescent="0.2">
      <c r="A632" s="170">
        <v>629</v>
      </c>
    </row>
    <row r="633" spans="1:1" x14ac:dyDescent="0.2">
      <c r="A633" s="170">
        <v>630</v>
      </c>
    </row>
    <row r="634" spans="1:1" x14ac:dyDescent="0.2">
      <c r="A634" s="170">
        <v>631</v>
      </c>
    </row>
    <row r="635" spans="1:1" x14ac:dyDescent="0.2">
      <c r="A635" s="170">
        <v>632</v>
      </c>
    </row>
    <row r="636" spans="1:1" x14ac:dyDescent="0.2">
      <c r="A636" s="170">
        <v>633</v>
      </c>
    </row>
    <row r="637" spans="1:1" x14ac:dyDescent="0.2">
      <c r="A637" s="170">
        <v>634</v>
      </c>
    </row>
    <row r="638" spans="1:1" x14ac:dyDescent="0.2">
      <c r="A638" s="170">
        <v>635</v>
      </c>
    </row>
    <row r="639" spans="1:1" x14ac:dyDescent="0.2">
      <c r="A639" s="170"/>
    </row>
    <row r="640" spans="1:1" x14ac:dyDescent="0.2">
      <c r="A640" s="170"/>
    </row>
    <row r="641" spans="1:1" x14ac:dyDescent="0.2">
      <c r="A641" s="170"/>
    </row>
    <row r="642" spans="1:1" x14ac:dyDescent="0.2">
      <c r="A642" s="170"/>
    </row>
    <row r="643" spans="1:1" x14ac:dyDescent="0.2">
      <c r="A643" s="170"/>
    </row>
    <row r="644" spans="1:1" x14ac:dyDescent="0.2">
      <c r="A644" s="170"/>
    </row>
    <row r="645" spans="1:1" x14ac:dyDescent="0.2">
      <c r="A645" s="170"/>
    </row>
    <row r="646" spans="1:1" x14ac:dyDescent="0.2">
      <c r="A646" s="170"/>
    </row>
    <row r="647" spans="1:1" x14ac:dyDescent="0.2">
      <c r="A647" s="170"/>
    </row>
    <row r="648" spans="1:1" x14ac:dyDescent="0.2">
      <c r="A648" s="170"/>
    </row>
    <row r="649" spans="1:1" x14ac:dyDescent="0.2">
      <c r="A649" s="170"/>
    </row>
    <row r="650" spans="1:1" x14ac:dyDescent="0.2">
      <c r="A650" s="170"/>
    </row>
  </sheetData>
  <sheetProtection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BFFAE06566C1240A141347811FC0AE6" ma:contentTypeVersion="18" ma:contentTypeDescription="Create a new document." ma:contentTypeScope="" ma:versionID="b6c1daea135596d59834fb6804acd7b4">
  <xsd:schema xmlns:xsd="http://www.w3.org/2001/XMLSchema" xmlns:xs="http://www.w3.org/2001/XMLSchema" xmlns:p="http://schemas.microsoft.com/office/2006/metadata/properties" xmlns:ns2="55aa3dbe-7cfa-4d5a-80b8-bd0422257838" xmlns:ns3="2cdf66c0-ac05-444f-a442-67ccb2019f35" targetNamespace="http://schemas.microsoft.com/office/2006/metadata/properties" ma:root="true" ma:fieldsID="7a1806f939995ed85733415ef4342df1" ns2:_="" ns3:_="">
    <xsd:import namespace="55aa3dbe-7cfa-4d5a-80b8-bd0422257838"/>
    <xsd:import namespace="2cdf66c0-ac05-444f-a442-67ccb2019f35"/>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5aa3dbe-7cfa-4d5a-80b8-bd042225783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6880a1a-09c0-47ab-ae85-e9131de9305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cdf66c0-ac05-444f-a442-67ccb2019f3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c6b532e-58fd-48d5-974f-eb8c16de9581}" ma:internalName="TaxCatchAll" ma:showField="CatchAllData" ma:web="2cdf66c0-ac05-444f-a442-67ccb2019f3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cdf66c0-ac05-444f-a442-67ccb2019f35" xsi:nil="true"/>
    <lcf76f155ced4ddcb4097134ff3c332f xmlns="55aa3dbe-7cfa-4d5a-80b8-bd042225783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C9EBE37-A8D0-4279-B5D8-BEA5FA2215C1}">
  <ds:schemaRefs>
    <ds:schemaRef ds:uri="http://schemas.microsoft.com/sharepoint/v3/contenttype/forms"/>
  </ds:schemaRefs>
</ds:datastoreItem>
</file>

<file path=customXml/itemProps2.xml><?xml version="1.0" encoding="utf-8"?>
<ds:datastoreItem xmlns:ds="http://schemas.openxmlformats.org/officeDocument/2006/customXml" ds:itemID="{5323A26C-ACDE-4C5A-8E7D-187B566CFE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5aa3dbe-7cfa-4d5a-80b8-bd0422257838"/>
    <ds:schemaRef ds:uri="2cdf66c0-ac05-444f-a442-67ccb2019f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18BD6AF-92CE-44BA-9094-2D613F79B84B}">
  <ds:schemaRefs>
    <ds:schemaRef ds:uri="http://schemas.microsoft.com/office/2006/metadata/properties"/>
    <ds:schemaRef ds:uri="http://purl.org/dc/elements/1.1/"/>
    <ds:schemaRef ds:uri="http://purl.org/dc/terms/"/>
    <ds:schemaRef ds:uri="http://schemas.microsoft.com/office/2006/documentManagement/types"/>
    <ds:schemaRef ds:uri="55aa3dbe-7cfa-4d5a-80b8-bd0422257838"/>
    <ds:schemaRef ds:uri="2cdf66c0-ac05-444f-a442-67ccb2019f35"/>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Wholesale lenders</vt:lpstr>
      <vt:lpstr>Comp plan</vt:lpstr>
      <vt:lpstr>Branch example</vt:lpstr>
      <vt:lpstr>Branch example 0</vt:lpstr>
      <vt:lpstr>Branch example 1</vt:lpstr>
      <vt:lpstr>Branch example 2</vt:lpstr>
      <vt:lpstr>Branch example 3</vt:lpstr>
      <vt:lpstr>Branch example 4</vt:lpstr>
      <vt:lpstr>Branch example 5</vt:lpstr>
      <vt:lpstr>Branch example 6</vt:lpstr>
      <vt:lpstr>MLO start-up costs</vt:lpstr>
      <vt:lpstr>Revenue Share 0</vt:lpstr>
      <vt:lpstr>Revenue Share Capped</vt:lpstr>
      <vt:lpstr>Branches</vt:lpstr>
      <vt:lpstr>Colored  tiers</vt:lpstr>
      <vt:lpstr>AHF net gross</vt:lpstr>
      <vt:lpstr>AHF net gross 0</vt:lpstr>
      <vt:lpstr>Snapshot</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Richard Gambord</cp:lastModifiedBy>
  <cp:revision/>
  <dcterms:created xsi:type="dcterms:W3CDTF">2020-10-16T16:31:42Z</dcterms:created>
  <dcterms:modified xsi:type="dcterms:W3CDTF">2024-04-09T07:01:42Z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0x010100FBFFAE06566C1240A141347811FC0AE6</vt:lpwstr>
  </property>
  <property fmtid="{D5CDD505-2E9C-101B-9397-08002B2CF9AE}" pid="3" name="MediaServiceImageTags">
    <vt:lpwstr/>
  </property>
</Properties>
</file>